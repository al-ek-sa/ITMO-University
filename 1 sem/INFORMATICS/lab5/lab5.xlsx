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итмо первый курс первый семестр\информатика\lab5\"/>
    </mc:Choice>
  </mc:AlternateContent>
  <xr:revisionPtr revIDLastSave="0" documentId="13_ncr:1_{1551E08C-68C2-4C36-AEBB-92FBE08E53BB}" xr6:coauthVersionLast="47" xr6:coauthVersionMax="47" xr10:uidLastSave="{00000000-0000-0000-0000-000000000000}"/>
  <bookViews>
    <workbookView xWindow="-110" yWindow="-110" windowWidth="25820" windowHeight="15500" xr2:uid="{71A5F11D-F984-47DF-A105-F65C812AC4E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4" i="1" l="1"/>
  <c r="O57" i="1"/>
  <c r="O50" i="1"/>
  <c r="O43" i="1"/>
  <c r="O36" i="1"/>
  <c r="O29" i="1"/>
  <c r="O22" i="1"/>
  <c r="T64" i="1"/>
  <c r="T62" i="1"/>
  <c r="T57" i="1"/>
  <c r="T55" i="1"/>
  <c r="T43" i="1"/>
  <c r="T50" i="1"/>
  <c r="T48" i="1"/>
  <c r="T41" i="1"/>
  <c r="T36" i="1"/>
  <c r="T34" i="1"/>
  <c r="T29" i="1"/>
  <c r="T27" i="1"/>
  <c r="T22" i="1"/>
  <c r="T20" i="1"/>
  <c r="V20" i="1"/>
  <c r="Y22" i="1" s="1"/>
  <c r="AA22" i="1"/>
  <c r="AC22" i="1"/>
  <c r="J22" i="1"/>
  <c r="AC40" i="1"/>
  <c r="AD61" i="1"/>
  <c r="AD54" i="1"/>
  <c r="AD47" i="1"/>
  <c r="AD40" i="1"/>
  <c r="AD33" i="1"/>
  <c r="AD26" i="1"/>
  <c r="AC61" i="1"/>
  <c r="AC54" i="1"/>
  <c r="AC47" i="1"/>
  <c r="AC33" i="1"/>
  <c r="AC26" i="1"/>
  <c r="AD18" i="1"/>
  <c r="AD17" i="1"/>
  <c r="AD20" i="1" s="1"/>
  <c r="F26" i="1"/>
  <c r="F33" i="1" s="1"/>
  <c r="F40" i="1" s="1"/>
  <c r="F47" i="1" s="1"/>
  <c r="F54" i="1" s="1"/>
  <c r="F61" i="1" s="1"/>
  <c r="E47" i="1"/>
  <c r="E40" i="1" s="1"/>
  <c r="E33" i="1" s="1"/>
  <c r="E61" i="1"/>
  <c r="K60" i="1"/>
  <c r="P60" i="1"/>
  <c r="U60" i="1"/>
  <c r="K59" i="1"/>
  <c r="P59" i="1"/>
  <c r="U59" i="1"/>
  <c r="K53" i="1"/>
  <c r="P53" i="1"/>
  <c r="U53" i="1"/>
  <c r="K52" i="1"/>
  <c r="P52" i="1"/>
  <c r="U52" i="1"/>
  <c r="K46" i="1"/>
  <c r="P46" i="1"/>
  <c r="U46" i="1"/>
  <c r="K45" i="1"/>
  <c r="P45" i="1"/>
  <c r="U45" i="1"/>
  <c r="K39" i="1"/>
  <c r="P39" i="1"/>
  <c r="U39" i="1"/>
  <c r="K38" i="1"/>
  <c r="P38" i="1"/>
  <c r="U38" i="1"/>
  <c r="K32" i="1"/>
  <c r="P32" i="1"/>
  <c r="U32" i="1"/>
  <c r="K31" i="1"/>
  <c r="P31" i="1"/>
  <c r="U31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G26" i="1"/>
  <c r="K25" i="1"/>
  <c r="P25" i="1"/>
  <c r="U25" i="1"/>
  <c r="K24" i="1"/>
  <c r="P24" i="1"/>
  <c r="U24" i="1"/>
  <c r="K18" i="1"/>
  <c r="P18" i="1"/>
  <c r="U18" i="1"/>
  <c r="K17" i="1"/>
  <c r="P17" i="1"/>
  <c r="U17" i="1"/>
  <c r="C8" i="1"/>
  <c r="C14" i="1" s="1"/>
  <c r="C7" i="1"/>
  <c r="C13" i="1" s="1"/>
  <c r="C6" i="1"/>
  <c r="C5" i="1"/>
  <c r="G5" i="1" s="1"/>
  <c r="C4" i="1"/>
  <c r="G4" i="1" s="1"/>
  <c r="G24" i="1" s="1"/>
  <c r="B5" i="1"/>
  <c r="B4" i="1"/>
  <c r="AD24" i="1" l="1"/>
  <c r="X8" i="1"/>
  <c r="H5" i="1"/>
  <c r="H38" i="1" s="1"/>
  <c r="AD38" i="1"/>
  <c r="O5" i="1"/>
  <c r="O18" i="1" s="1"/>
  <c r="N5" i="1"/>
  <c r="N18" i="1" s="1"/>
  <c r="I5" i="1"/>
  <c r="I38" i="1" s="1"/>
  <c r="V8" i="1"/>
  <c r="W8" i="1"/>
  <c r="G17" i="1"/>
  <c r="V4" i="1"/>
  <c r="H18" i="1"/>
  <c r="H31" i="1"/>
  <c r="G38" i="1"/>
  <c r="G31" i="1"/>
  <c r="G18" i="1"/>
  <c r="E26" i="1"/>
  <c r="E19" i="1"/>
  <c r="J5" i="1"/>
  <c r="L5" i="1"/>
  <c r="M5" i="1"/>
  <c r="Q5" i="1"/>
  <c r="AD31" i="1"/>
  <c r="R5" i="1"/>
  <c r="S5" i="1"/>
  <c r="T5" i="1"/>
  <c r="Y5" i="1"/>
  <c r="V5" i="1"/>
  <c r="W5" i="1"/>
  <c r="X5" i="1"/>
  <c r="C12" i="1"/>
  <c r="M12" i="1" s="1"/>
  <c r="M53" i="1" s="1"/>
  <c r="AD32" i="1"/>
  <c r="M6" i="1"/>
  <c r="N6" i="1"/>
  <c r="AD60" i="1"/>
  <c r="G13" i="1"/>
  <c r="V13" i="1"/>
  <c r="W13" i="1"/>
  <c r="X13" i="1"/>
  <c r="G14" i="1"/>
  <c r="G59" i="1" s="1"/>
  <c r="AD59" i="1"/>
  <c r="T8" i="1"/>
  <c r="S7" i="1"/>
  <c r="R7" i="1"/>
  <c r="Q7" i="1"/>
  <c r="Y14" i="1"/>
  <c r="Y59" i="1" s="1"/>
  <c r="L6" i="1"/>
  <c r="O7" i="1"/>
  <c r="T13" i="1"/>
  <c r="S8" i="1"/>
  <c r="N7" i="1"/>
  <c r="X14" i="1"/>
  <c r="X59" i="1" s="1"/>
  <c r="S13" i="1"/>
  <c r="H4" i="1"/>
  <c r="R8" i="1"/>
  <c r="M7" i="1"/>
  <c r="W14" i="1"/>
  <c r="W59" i="1" s="1"/>
  <c r="R13" i="1"/>
  <c r="I4" i="1"/>
  <c r="Q8" i="1"/>
  <c r="L7" i="1"/>
  <c r="V14" i="1"/>
  <c r="V59" i="1" s="1"/>
  <c r="Q13" i="1"/>
  <c r="J4" i="1"/>
  <c r="O8" i="1"/>
  <c r="Y6" i="1"/>
  <c r="T14" i="1"/>
  <c r="T59" i="1" s="1"/>
  <c r="O13" i="1"/>
  <c r="L4" i="1"/>
  <c r="N8" i="1"/>
  <c r="X6" i="1"/>
  <c r="S14" i="1"/>
  <c r="S59" i="1" s="1"/>
  <c r="N13" i="1"/>
  <c r="M4" i="1"/>
  <c r="M8" i="1"/>
  <c r="W6" i="1"/>
  <c r="R14" i="1"/>
  <c r="R59" i="1" s="1"/>
  <c r="M13" i="1"/>
  <c r="N4" i="1"/>
  <c r="L8" i="1"/>
  <c r="V6" i="1"/>
  <c r="Q14" i="1"/>
  <c r="Q59" i="1" s="1"/>
  <c r="L13" i="1"/>
  <c r="O4" i="1"/>
  <c r="Y7" i="1"/>
  <c r="T6" i="1"/>
  <c r="O14" i="1"/>
  <c r="O59" i="1" s="1"/>
  <c r="Q4" i="1"/>
  <c r="X7" i="1"/>
  <c r="S6" i="1"/>
  <c r="N14" i="1"/>
  <c r="N59" i="1" s="1"/>
  <c r="R4" i="1"/>
  <c r="W7" i="1"/>
  <c r="R6" i="1"/>
  <c r="M14" i="1"/>
  <c r="M59" i="1" s="1"/>
  <c r="S4" i="1"/>
  <c r="V7" i="1"/>
  <c r="Q6" i="1"/>
  <c r="L14" i="1"/>
  <c r="L59" i="1" s="1"/>
  <c r="Y8" i="1"/>
  <c r="T7" i="1"/>
  <c r="O6" i="1"/>
  <c r="Y13" i="1"/>
  <c r="T4" i="1"/>
  <c r="W4" i="1"/>
  <c r="J8" i="1"/>
  <c r="J7" i="1"/>
  <c r="J6" i="1"/>
  <c r="J14" i="1"/>
  <c r="J59" i="1" s="1"/>
  <c r="J13" i="1"/>
  <c r="X4" i="1"/>
  <c r="I8" i="1"/>
  <c r="I7" i="1"/>
  <c r="I6" i="1"/>
  <c r="I14" i="1"/>
  <c r="I59" i="1" s="1"/>
  <c r="I13" i="1"/>
  <c r="Y4" i="1"/>
  <c r="H8" i="1"/>
  <c r="H7" i="1"/>
  <c r="H6" i="1"/>
  <c r="H14" i="1"/>
  <c r="H59" i="1" s="1"/>
  <c r="H13" i="1"/>
  <c r="C10" i="1"/>
  <c r="G8" i="1"/>
  <c r="G7" i="1"/>
  <c r="G6" i="1"/>
  <c r="C9" i="1"/>
  <c r="C11" i="1"/>
  <c r="O12" i="1" l="1"/>
  <c r="O53" i="1" s="1"/>
  <c r="Q12" i="1"/>
  <c r="Q53" i="1" s="1"/>
  <c r="N38" i="1"/>
  <c r="N31" i="1"/>
  <c r="I18" i="1"/>
  <c r="I31" i="1"/>
  <c r="X12" i="1"/>
  <c r="X53" i="1" s="1"/>
  <c r="O38" i="1"/>
  <c r="O31" i="1"/>
  <c r="L12" i="1"/>
  <c r="L53" i="1" s="1"/>
  <c r="T12" i="1"/>
  <c r="T53" i="1" s="1"/>
  <c r="AD62" i="1"/>
  <c r="N12" i="1"/>
  <c r="N53" i="1" s="1"/>
  <c r="Y12" i="1"/>
  <c r="Y53" i="1" s="1"/>
  <c r="AD34" i="1"/>
  <c r="W12" i="1"/>
  <c r="W53" i="1" s="1"/>
  <c r="H12" i="1"/>
  <c r="H53" i="1" s="1"/>
  <c r="I12" i="1"/>
  <c r="I53" i="1" s="1"/>
  <c r="V24" i="1"/>
  <c r="V17" i="1"/>
  <c r="AD45" i="1"/>
  <c r="AD39" i="1"/>
  <c r="O17" i="1"/>
  <c r="O24" i="1"/>
  <c r="Y38" i="1"/>
  <c r="Y31" i="1"/>
  <c r="Y18" i="1"/>
  <c r="S17" i="1"/>
  <c r="S24" i="1"/>
  <c r="T31" i="1"/>
  <c r="T18" i="1"/>
  <c r="T38" i="1"/>
  <c r="J32" i="1"/>
  <c r="J60" i="1"/>
  <c r="Y32" i="1"/>
  <c r="Y60" i="1"/>
  <c r="Y62" i="1" s="1"/>
  <c r="V32" i="1"/>
  <c r="V60" i="1"/>
  <c r="S31" i="1"/>
  <c r="S18" i="1"/>
  <c r="S38" i="1"/>
  <c r="H60" i="1"/>
  <c r="H32" i="1"/>
  <c r="R60" i="1"/>
  <c r="R32" i="1"/>
  <c r="J17" i="1"/>
  <c r="J24" i="1"/>
  <c r="R18" i="1"/>
  <c r="R31" i="1"/>
  <c r="R38" i="1"/>
  <c r="W24" i="1"/>
  <c r="W17" i="1"/>
  <c r="N17" i="1"/>
  <c r="N24" i="1"/>
  <c r="T24" i="1"/>
  <c r="T17" i="1"/>
  <c r="R17" i="1"/>
  <c r="R24" i="1"/>
  <c r="Q31" i="1"/>
  <c r="Q18" i="1"/>
  <c r="Q38" i="1"/>
  <c r="Y24" i="1"/>
  <c r="Y17" i="1"/>
  <c r="M18" i="1"/>
  <c r="M31" i="1"/>
  <c r="M38" i="1"/>
  <c r="W32" i="1"/>
  <c r="W60" i="1"/>
  <c r="L38" i="1"/>
  <c r="L31" i="1"/>
  <c r="L18" i="1"/>
  <c r="S60" i="1"/>
  <c r="S32" i="1"/>
  <c r="I24" i="1"/>
  <c r="I17" i="1"/>
  <c r="L32" i="1"/>
  <c r="L60" i="1"/>
  <c r="N60" i="1"/>
  <c r="N32" i="1"/>
  <c r="J38" i="1"/>
  <c r="J31" i="1"/>
  <c r="J18" i="1"/>
  <c r="O60" i="1"/>
  <c r="O32" i="1"/>
  <c r="M17" i="1"/>
  <c r="M24" i="1"/>
  <c r="M32" i="1"/>
  <c r="M60" i="1"/>
  <c r="I11" i="1"/>
  <c r="J11" i="1"/>
  <c r="L11" i="1"/>
  <c r="AD52" i="1"/>
  <c r="G11" i="1"/>
  <c r="H11" i="1"/>
  <c r="AD25" i="1"/>
  <c r="AD27" i="1" s="1"/>
  <c r="M11" i="1"/>
  <c r="N11" i="1"/>
  <c r="O11" i="1"/>
  <c r="Q11" i="1"/>
  <c r="R11" i="1"/>
  <c r="AD46" i="1"/>
  <c r="T11" i="1"/>
  <c r="V11" i="1"/>
  <c r="W11" i="1"/>
  <c r="S11" i="1"/>
  <c r="X11" i="1"/>
  <c r="Y11" i="1"/>
  <c r="I32" i="1"/>
  <c r="I60" i="1"/>
  <c r="Q17" i="1"/>
  <c r="Q24" i="1"/>
  <c r="G12" i="1"/>
  <c r="G53" i="1" s="1"/>
  <c r="AD53" i="1"/>
  <c r="S12" i="1"/>
  <c r="S53" i="1" s="1"/>
  <c r="R12" i="1"/>
  <c r="R53" i="1" s="1"/>
  <c r="G32" i="1"/>
  <c r="G60" i="1"/>
  <c r="V12" i="1"/>
  <c r="V53" i="1" s="1"/>
  <c r="X32" i="1"/>
  <c r="X60" i="1"/>
  <c r="X18" i="1"/>
  <c r="X38" i="1"/>
  <c r="X31" i="1"/>
  <c r="X24" i="1"/>
  <c r="X17" i="1"/>
  <c r="T60" i="1"/>
  <c r="T32" i="1"/>
  <c r="W38" i="1"/>
  <c r="W18" i="1"/>
  <c r="W31" i="1"/>
  <c r="J12" i="1"/>
  <c r="J53" i="1" s="1"/>
  <c r="Q60" i="1"/>
  <c r="Q32" i="1"/>
  <c r="L17" i="1"/>
  <c r="L24" i="1"/>
  <c r="H24" i="1"/>
  <c r="H17" i="1"/>
  <c r="V31" i="1"/>
  <c r="V38" i="1"/>
  <c r="V18" i="1"/>
  <c r="G10" i="1"/>
  <c r="H10" i="1"/>
  <c r="L10" i="1"/>
  <c r="N10" i="1"/>
  <c r="O10" i="1"/>
  <c r="I10" i="1"/>
  <c r="W10" i="1"/>
  <c r="J10" i="1"/>
  <c r="M10" i="1"/>
  <c r="Q10" i="1"/>
  <c r="R10" i="1"/>
  <c r="T10" i="1"/>
  <c r="Y10" i="1"/>
  <c r="V10" i="1"/>
  <c r="S10" i="1"/>
  <c r="X10" i="1"/>
  <c r="C15" i="1"/>
  <c r="G9" i="1"/>
  <c r="N9" i="1"/>
  <c r="H9" i="1"/>
  <c r="I9" i="1"/>
  <c r="L9" i="1"/>
  <c r="O9" i="1"/>
  <c r="J9" i="1"/>
  <c r="M9" i="1"/>
  <c r="R9" i="1"/>
  <c r="Q9" i="1"/>
  <c r="T9" i="1"/>
  <c r="V9" i="1"/>
  <c r="W9" i="1"/>
  <c r="Y9" i="1"/>
  <c r="S9" i="1"/>
  <c r="X9" i="1"/>
  <c r="X62" i="1" l="1"/>
  <c r="AD41" i="1"/>
  <c r="J36" i="1"/>
  <c r="S62" i="1"/>
  <c r="R62" i="1"/>
  <c r="V62" i="1"/>
  <c r="J62" i="1"/>
  <c r="G20" i="1"/>
  <c r="O62" i="1"/>
  <c r="H62" i="1"/>
  <c r="M62" i="1"/>
  <c r="Q62" i="1"/>
  <c r="G62" i="1"/>
  <c r="N62" i="1"/>
  <c r="G34" i="1"/>
  <c r="I62" i="1"/>
  <c r="W62" i="1"/>
  <c r="L62" i="1"/>
  <c r="I34" i="1"/>
  <c r="H34" i="1"/>
  <c r="AD55" i="1"/>
  <c r="M34" i="1"/>
  <c r="N34" i="1"/>
  <c r="J34" i="1"/>
  <c r="G39" i="1"/>
  <c r="G45" i="1"/>
  <c r="S39" i="1"/>
  <c r="S45" i="1"/>
  <c r="R34" i="1"/>
  <c r="V39" i="1"/>
  <c r="V45" i="1"/>
  <c r="Q20" i="1"/>
  <c r="T39" i="1"/>
  <c r="T45" i="1"/>
  <c r="R45" i="1"/>
  <c r="R39" i="1"/>
  <c r="Y25" i="1"/>
  <c r="Y27" i="1" s="1"/>
  <c r="Y52" i="1"/>
  <c r="Y55" i="1" s="1"/>
  <c r="Y46" i="1"/>
  <c r="L20" i="1"/>
  <c r="J25" i="1"/>
  <c r="J52" i="1"/>
  <c r="J46" i="1"/>
  <c r="N25" i="1"/>
  <c r="N46" i="1"/>
  <c r="N52" i="1"/>
  <c r="X39" i="1"/>
  <c r="X45" i="1"/>
  <c r="M25" i="1"/>
  <c r="M52" i="1"/>
  <c r="M46" i="1"/>
  <c r="V34" i="1"/>
  <c r="X34" i="1"/>
  <c r="H25" i="1"/>
  <c r="H52" i="1"/>
  <c r="H46" i="1"/>
  <c r="X20" i="1"/>
  <c r="W20" i="1"/>
  <c r="Y20" i="1"/>
  <c r="Y39" i="1"/>
  <c r="Y45" i="1"/>
  <c r="H20" i="1"/>
  <c r="G25" i="1"/>
  <c r="G52" i="1"/>
  <c r="J57" i="1" s="1"/>
  <c r="G46" i="1"/>
  <c r="J20" i="1"/>
  <c r="L25" i="1"/>
  <c r="L52" i="1"/>
  <c r="L46" i="1"/>
  <c r="Q45" i="1"/>
  <c r="Q39" i="1"/>
  <c r="X52" i="1"/>
  <c r="X25" i="1"/>
  <c r="X46" i="1"/>
  <c r="I20" i="1"/>
  <c r="M39" i="1"/>
  <c r="M45" i="1"/>
  <c r="S46" i="1"/>
  <c r="S52" i="1"/>
  <c r="S25" i="1"/>
  <c r="I25" i="1"/>
  <c r="I52" i="1"/>
  <c r="I46" i="1"/>
  <c r="Q34" i="1"/>
  <c r="S20" i="1"/>
  <c r="J45" i="1"/>
  <c r="J39" i="1"/>
  <c r="W52" i="1"/>
  <c r="W46" i="1"/>
  <c r="W25" i="1"/>
  <c r="W39" i="1"/>
  <c r="W45" i="1"/>
  <c r="V52" i="1"/>
  <c r="V46" i="1"/>
  <c r="V25" i="1"/>
  <c r="R20" i="1"/>
  <c r="I45" i="1"/>
  <c r="I39" i="1"/>
  <c r="O34" i="1"/>
  <c r="T46" i="1"/>
  <c r="T52" i="1"/>
  <c r="T25" i="1"/>
  <c r="O45" i="1"/>
  <c r="O39" i="1"/>
  <c r="W34" i="1"/>
  <c r="L34" i="1"/>
  <c r="N39" i="1"/>
  <c r="N45" i="1"/>
  <c r="R46" i="1"/>
  <c r="R52" i="1"/>
  <c r="R25" i="1"/>
  <c r="M20" i="1"/>
  <c r="S34" i="1"/>
  <c r="O20" i="1"/>
  <c r="L39" i="1"/>
  <c r="L45" i="1"/>
  <c r="Q25" i="1"/>
  <c r="Q46" i="1"/>
  <c r="Q52" i="1"/>
  <c r="N20" i="1"/>
  <c r="H39" i="1"/>
  <c r="H45" i="1"/>
  <c r="O25" i="1"/>
  <c r="O46" i="1"/>
  <c r="O52" i="1"/>
  <c r="AD48" i="1"/>
  <c r="G15" i="1"/>
  <c r="R15" i="1"/>
  <c r="H15" i="1"/>
  <c r="M15" i="1"/>
  <c r="O15" i="1"/>
  <c r="V15" i="1"/>
  <c r="W15" i="1"/>
  <c r="Y15" i="1"/>
  <c r="I15" i="1"/>
  <c r="L15" i="1"/>
  <c r="S15" i="1"/>
  <c r="T15" i="1"/>
  <c r="J15" i="1"/>
  <c r="X15" i="1"/>
  <c r="N15" i="1"/>
  <c r="Q15" i="1"/>
  <c r="AC36" i="1" l="1"/>
  <c r="AA20" i="1"/>
  <c r="AF17" i="1" s="1"/>
  <c r="J64" i="1"/>
  <c r="AA62" i="1"/>
  <c r="AF59" i="1" s="1"/>
  <c r="W55" i="1"/>
  <c r="J55" i="1"/>
  <c r="X55" i="1"/>
  <c r="Y48" i="1"/>
  <c r="Y41" i="1"/>
  <c r="AA36" i="1"/>
  <c r="AA64" i="1"/>
  <c r="Y64" i="1"/>
  <c r="AC64" i="1"/>
  <c r="H41" i="1"/>
  <c r="W48" i="1"/>
  <c r="M41" i="1"/>
  <c r="W41" i="1"/>
  <c r="O41" i="1"/>
  <c r="H55" i="1"/>
  <c r="I55" i="1"/>
  <c r="O55" i="1"/>
  <c r="Y34" i="1"/>
  <c r="AA34" i="1" s="1"/>
  <c r="AF31" i="1" s="1"/>
  <c r="Q55" i="1"/>
  <c r="M55" i="1"/>
  <c r="S55" i="1"/>
  <c r="G55" i="1"/>
  <c r="N55" i="1"/>
  <c r="L55" i="1"/>
  <c r="R55" i="1"/>
  <c r="V55" i="1"/>
  <c r="S48" i="1"/>
  <c r="G41" i="1"/>
  <c r="J41" i="1"/>
  <c r="L41" i="1"/>
  <c r="J48" i="1"/>
  <c r="Q48" i="1"/>
  <c r="S41" i="1"/>
  <c r="L48" i="1"/>
  <c r="Q41" i="1"/>
  <c r="I41" i="1"/>
  <c r="R48" i="1"/>
  <c r="X48" i="1"/>
  <c r="R41" i="1"/>
  <c r="N48" i="1"/>
  <c r="N41" i="1"/>
  <c r="X41" i="1"/>
  <c r="V48" i="1"/>
  <c r="O48" i="1"/>
  <c r="G48" i="1"/>
  <c r="J50" i="1" s="1"/>
  <c r="I48" i="1"/>
  <c r="H48" i="1"/>
  <c r="M48" i="1"/>
  <c r="V41" i="1"/>
  <c r="W27" i="1"/>
  <c r="X27" i="1"/>
  <c r="J27" i="1"/>
  <c r="H27" i="1"/>
  <c r="O27" i="1"/>
  <c r="M27" i="1"/>
  <c r="Q27" i="1"/>
  <c r="L27" i="1"/>
  <c r="R27" i="1"/>
  <c r="N27" i="1"/>
  <c r="S27" i="1"/>
  <c r="G27" i="1"/>
  <c r="I27" i="1"/>
  <c r="V27" i="1"/>
  <c r="AA55" i="1" l="1"/>
  <c r="AF52" i="1" s="1"/>
  <c r="AC50" i="1"/>
  <c r="AA48" i="1"/>
  <c r="AF45" i="1" s="1"/>
  <c r="AC43" i="1"/>
  <c r="AA41" i="1"/>
  <c r="AF38" i="1" s="1"/>
  <c r="AA27" i="1"/>
  <c r="AF24" i="1" s="1"/>
  <c r="J43" i="1"/>
  <c r="AA57" i="1"/>
  <c r="Y57" i="1"/>
  <c r="AC57" i="1"/>
  <c r="AA29" i="1"/>
  <c r="Y29" i="1"/>
  <c r="AC29" i="1"/>
  <c r="J29" i="1"/>
  <c r="AA43" i="1"/>
  <c r="Y43" i="1"/>
  <c r="Y36" i="1"/>
  <c r="AA50" i="1"/>
  <c r="Y50" i="1"/>
</calcChain>
</file>

<file path=xl/sharedStrings.xml><?xml version="1.0" encoding="utf-8"?>
<sst xmlns="http://schemas.openxmlformats.org/spreadsheetml/2006/main" count="309" uniqueCount="70">
  <si>
    <t>A=</t>
  </si>
  <si>
    <t>C=</t>
  </si>
  <si>
    <t>X1=</t>
  </si>
  <si>
    <t>X2=</t>
  </si>
  <si>
    <t>X3=</t>
  </si>
  <si>
    <t>X4=</t>
  </si>
  <si>
    <t>X5=</t>
  </si>
  <si>
    <t>X6=</t>
  </si>
  <si>
    <t>X7=</t>
  </si>
  <si>
    <t>X8=</t>
  </si>
  <si>
    <t>X9=</t>
  </si>
  <si>
    <t>X10=</t>
  </si>
  <si>
    <t>X11=</t>
  </si>
  <si>
    <t>X12=</t>
  </si>
  <si>
    <t>A+C=</t>
  </si>
  <si>
    <t>A+C+C=</t>
  </si>
  <si>
    <t>C-A=</t>
  </si>
  <si>
    <t>65536-X4=</t>
  </si>
  <si>
    <t>-X1=</t>
  </si>
  <si>
    <t>-X2=</t>
  </si>
  <si>
    <t>-X3=</t>
  </si>
  <si>
    <t>-X4=</t>
  </si>
  <si>
    <t>-X5=</t>
  </si>
  <si>
    <t>-X6=</t>
  </si>
  <si>
    <t>B1=</t>
  </si>
  <si>
    <t>B2=</t>
  </si>
  <si>
    <t>B3=</t>
  </si>
  <si>
    <t>B4=</t>
  </si>
  <si>
    <t>B5=</t>
  </si>
  <si>
    <t>B6=</t>
  </si>
  <si>
    <t>B7=</t>
  </si>
  <si>
    <t>B8=</t>
  </si>
  <si>
    <t>B9=</t>
  </si>
  <si>
    <t>B10=</t>
  </si>
  <si>
    <t>B11=</t>
  </si>
  <si>
    <t>B12=</t>
  </si>
  <si>
    <t>-B1=</t>
  </si>
  <si>
    <t>-B2=</t>
  </si>
  <si>
    <t>-B3=</t>
  </si>
  <si>
    <t>-B4=</t>
  </si>
  <si>
    <t>-B5=</t>
  </si>
  <si>
    <t>-B6=</t>
  </si>
  <si>
    <t>.</t>
  </si>
  <si>
    <t>B1</t>
  </si>
  <si>
    <t>B2</t>
  </si>
  <si>
    <t>+</t>
  </si>
  <si>
    <t>CF=</t>
  </si>
  <si>
    <t>PF=</t>
  </si>
  <si>
    <t>AF=</t>
  </si>
  <si>
    <t>ZF=</t>
  </si>
  <si>
    <t>SF=</t>
  </si>
  <si>
    <t>OF=</t>
  </si>
  <si>
    <t xml:space="preserve"> </t>
  </si>
  <si>
    <t>--</t>
  </si>
  <si>
    <t>B8</t>
  </si>
  <si>
    <t>В2</t>
  </si>
  <si>
    <t>В3</t>
  </si>
  <si>
    <t>В7</t>
  </si>
  <si>
    <t>В8</t>
  </si>
  <si>
    <t>В9</t>
  </si>
  <si>
    <t>В11</t>
  </si>
  <si>
    <t>B3</t>
  </si>
  <si>
    <t>B7</t>
  </si>
  <si>
    <t>B9</t>
  </si>
  <si>
    <t>B11</t>
  </si>
  <si>
    <t>------</t>
  </si>
  <si>
    <t>--------------</t>
  </si>
  <si>
    <t>=</t>
  </si>
  <si>
    <t>-------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</si>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</sst>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44AC-4C73-44DE-AB4A-DBF92EDF9087}">
  <sheetPr codeName="Лист1"/>
  <dimension ref="A1:AF64"/>
  <sheetViews>
    <sheetView tabSelected="1" view="pageLayout" zoomScaleNormal="100" workbookViewId="0">
      <selection activeCell="T22" sqref="T22"/>
    </sheetView>
  </sheetViews>
  <sheetFormatPr defaultRowHeight="14"/>
  <cols>
    <col min="1" max="1" width="5.6640625" customWidth="1"/>
    <col min="2" max="2" width="9.9140625" customWidth="1"/>
    <col min="4" max="4" width="2" customWidth="1"/>
    <col min="5" max="5" width="5.1640625" customWidth="1"/>
    <col min="6" max="6" width="4.83203125" customWidth="1"/>
    <col min="7" max="25" width="2.08203125" customWidth="1"/>
    <col min="26" max="26" width="5.08203125" customWidth="1"/>
    <col min="27" max="27" width="7.6640625" customWidth="1"/>
    <col min="28" max="28" width="4.4140625" customWidth="1"/>
    <col min="29" max="29" width="3" customWidth="1"/>
    <col min="31" max="31" width="2.25" customWidth="1"/>
    <col min="32" max="32" width="51" customWidth="1"/>
  </cols>
  <sheetData>
    <row r="1" spans="1:26">
      <c r="B1" t="s">
        <v>0</v>
      </c>
      <c r="C1">
        <v>6518</v>
      </c>
    </row>
    <row r="2" spans="1:26">
      <c r="B2" t="s">
        <v>1</v>
      </c>
      <c r="C2">
        <v>14200</v>
      </c>
    </row>
    <row r="4" spans="1:26">
      <c r="A4" t="s">
        <v>2</v>
      </c>
      <c r="B4" t="str">
        <f>B1</f>
        <v>A=</v>
      </c>
      <c r="C4">
        <f>C1</f>
        <v>6518</v>
      </c>
      <c r="E4" t="s">
        <v>24</v>
      </c>
      <c r="G4" s="2">
        <f>MOD(INT($C4/32768),2)</f>
        <v>0</v>
      </c>
      <c r="H4" s="2">
        <f>MOD(INT($C4/16384),2)</f>
        <v>0</v>
      </c>
      <c r="I4" s="2">
        <f>MOD(INT($C4/8192),2)</f>
        <v>0</v>
      </c>
      <c r="J4" s="2">
        <f>MOD(INT($C4/4096),2)</f>
        <v>1</v>
      </c>
      <c r="K4" s="2" t="s">
        <v>42</v>
      </c>
      <c r="L4" s="2">
        <f>MOD(INT($C4/2048),2)</f>
        <v>1</v>
      </c>
      <c r="M4" s="2">
        <f>MOD(INT($C4/1024),2)</f>
        <v>0</v>
      </c>
      <c r="N4" s="2">
        <f>MOD(INT($C4/512),2)</f>
        <v>0</v>
      </c>
      <c r="O4" s="2">
        <f>MOD(INT($C4/256),2)</f>
        <v>1</v>
      </c>
      <c r="P4" s="2" t="s">
        <v>42</v>
      </c>
      <c r="Q4" s="2">
        <f>MOD(INT($C4/128),2)</f>
        <v>0</v>
      </c>
      <c r="R4" s="2">
        <f>MOD(INT($C4/64),2)</f>
        <v>1</v>
      </c>
      <c r="S4" s="2">
        <f>MOD(INT($C4/32),2)</f>
        <v>1</v>
      </c>
      <c r="T4" s="2">
        <f>MOD(INT($C4/16),2)</f>
        <v>1</v>
      </c>
      <c r="U4" s="2" t="s">
        <v>42</v>
      </c>
      <c r="V4" s="2">
        <f>MOD(INT($C4/8),2)</f>
        <v>0</v>
      </c>
      <c r="W4" s="2">
        <f>MOD(INT($C4/4),2)</f>
        <v>1</v>
      </c>
      <c r="X4" s="2">
        <f>MOD(INT($C4/2),2)</f>
        <v>1</v>
      </c>
      <c r="Y4" s="2">
        <f>MOD(INT($C4/1),2)</f>
        <v>0</v>
      </c>
      <c r="Z4" s="2"/>
    </row>
    <row r="5" spans="1:26">
      <c r="A5" t="s">
        <v>3</v>
      </c>
      <c r="B5" t="str">
        <f>B2</f>
        <v>C=</v>
      </c>
      <c r="C5">
        <f>C2</f>
        <v>14200</v>
      </c>
      <c r="E5" t="s">
        <v>25</v>
      </c>
      <c r="G5" s="2">
        <f>MOD(INT($C5/32768),2)</f>
        <v>0</v>
      </c>
      <c r="H5" s="2">
        <f>MOD(INT($C5/16384),2)</f>
        <v>0</v>
      </c>
      <c r="I5" s="2">
        <f>MOD(INT($C5/8192),2)</f>
        <v>1</v>
      </c>
      <c r="J5" s="2">
        <f>MOD(INT($C5/4096),2)</f>
        <v>1</v>
      </c>
      <c r="K5" s="2" t="s">
        <v>42</v>
      </c>
      <c r="L5" s="2">
        <f>MOD(INT($C5/2048),2)</f>
        <v>0</v>
      </c>
      <c r="M5" s="2">
        <f>MOD(INT($C5/1024),2)</f>
        <v>1</v>
      </c>
      <c r="N5" s="2">
        <f>MOD(INT($C5/512),2)</f>
        <v>1</v>
      </c>
      <c r="O5" s="2">
        <f>MOD(INT($C5/256),2)</f>
        <v>1</v>
      </c>
      <c r="P5" s="2" t="s">
        <v>42</v>
      </c>
      <c r="Q5" s="2">
        <f>MOD(INT($C5/128),2)</f>
        <v>0</v>
      </c>
      <c r="R5" s="2">
        <f>MOD(INT($C5/64),2)</f>
        <v>1</v>
      </c>
      <c r="S5" s="2">
        <f>MOD(INT($C5/32),2)</f>
        <v>1</v>
      </c>
      <c r="T5" s="2">
        <f>MOD(INT($C5/16),2)</f>
        <v>1</v>
      </c>
      <c r="U5" s="2" t="s">
        <v>42</v>
      </c>
      <c r="V5" s="2">
        <f>MOD(INT($C5/8),2)</f>
        <v>1</v>
      </c>
      <c r="W5" s="2">
        <f>MOD(INT($C5/4),2)</f>
        <v>0</v>
      </c>
      <c r="X5" s="2">
        <f>MOD(INT($C5/2),2)</f>
        <v>0</v>
      </c>
      <c r="Y5" s="2">
        <f>MOD(INT($C5/1),2)</f>
        <v>0</v>
      </c>
    </row>
    <row r="6" spans="1:26">
      <c r="A6" t="s">
        <v>4</v>
      </c>
      <c r="B6" t="s">
        <v>14</v>
      </c>
      <c r="C6">
        <f>SUM(C1:C2)</f>
        <v>20718</v>
      </c>
      <c r="E6" t="s">
        <v>26</v>
      </c>
      <c r="G6" s="2">
        <f t="shared" ref="G6:G9" si="0">MOD(INT($C6/32768),2)</f>
        <v>0</v>
      </c>
      <c r="H6" s="2">
        <f t="shared" ref="H6:H9" si="1">MOD(INT($C6/16384),2)</f>
        <v>1</v>
      </c>
      <c r="I6" s="2">
        <f t="shared" ref="I6:I9" si="2">MOD(INT($C6/8192),2)</f>
        <v>0</v>
      </c>
      <c r="J6" s="2">
        <f t="shared" ref="J6:J9" si="3">MOD(INT($C6/4096),2)</f>
        <v>1</v>
      </c>
      <c r="K6" s="2" t="s">
        <v>42</v>
      </c>
      <c r="L6" s="2">
        <f t="shared" ref="L6:L9" si="4">MOD(INT($C6/2048),2)</f>
        <v>0</v>
      </c>
      <c r="M6" s="2">
        <f t="shared" ref="M6:M9" si="5">MOD(INT($C6/1024),2)</f>
        <v>0</v>
      </c>
      <c r="N6" s="2">
        <f t="shared" ref="N6:N9" si="6">MOD(INT($C6/512),2)</f>
        <v>0</v>
      </c>
      <c r="O6" s="2">
        <f t="shared" ref="O6:O9" si="7">MOD(INT($C6/256),2)</f>
        <v>0</v>
      </c>
      <c r="P6" s="2" t="s">
        <v>42</v>
      </c>
      <c r="Q6" s="2">
        <f t="shared" ref="Q6:Q9" si="8">MOD(INT($C6/128),2)</f>
        <v>1</v>
      </c>
      <c r="R6" s="2">
        <f t="shared" ref="R6:R9" si="9">MOD(INT($C6/64),2)</f>
        <v>1</v>
      </c>
      <c r="S6" s="2">
        <f t="shared" ref="S6:S9" si="10">MOD(INT($C6/32),2)</f>
        <v>1</v>
      </c>
      <c r="T6" s="2">
        <f t="shared" ref="T6:T9" si="11">MOD(INT($C6/16),2)</f>
        <v>0</v>
      </c>
      <c r="U6" s="2" t="s">
        <v>42</v>
      </c>
      <c r="V6" s="2">
        <f t="shared" ref="V6:V9" si="12">MOD(INT($C6/8),2)</f>
        <v>1</v>
      </c>
      <c r="W6" s="2">
        <f t="shared" ref="W6:W9" si="13">MOD(INT($C6/4),2)</f>
        <v>1</v>
      </c>
      <c r="X6" s="2">
        <f t="shared" ref="X6:X9" si="14">MOD(INT($C6/2),2)</f>
        <v>1</v>
      </c>
      <c r="Y6" s="2">
        <f t="shared" ref="Y6:Y9" si="15">MOD(INT($C6/1),2)</f>
        <v>0</v>
      </c>
    </row>
    <row r="7" spans="1:26">
      <c r="A7" t="s">
        <v>5</v>
      </c>
      <c r="B7" t="s">
        <v>15</v>
      </c>
      <c r="C7">
        <f>C1+C2*2</f>
        <v>34918</v>
      </c>
      <c r="E7" t="s">
        <v>27</v>
      </c>
      <c r="G7" s="2">
        <f t="shared" si="0"/>
        <v>1</v>
      </c>
      <c r="H7" s="2">
        <f t="shared" si="1"/>
        <v>0</v>
      </c>
      <c r="I7" s="2">
        <f t="shared" si="2"/>
        <v>0</v>
      </c>
      <c r="J7" s="2">
        <f t="shared" si="3"/>
        <v>0</v>
      </c>
      <c r="K7" s="2" t="s">
        <v>42</v>
      </c>
      <c r="L7" s="2">
        <f t="shared" si="4"/>
        <v>1</v>
      </c>
      <c r="M7" s="2">
        <f t="shared" si="5"/>
        <v>0</v>
      </c>
      <c r="N7" s="2">
        <f t="shared" si="6"/>
        <v>0</v>
      </c>
      <c r="O7" s="2">
        <f t="shared" si="7"/>
        <v>0</v>
      </c>
      <c r="P7" s="2" t="s">
        <v>42</v>
      </c>
      <c r="Q7" s="2">
        <f t="shared" si="8"/>
        <v>0</v>
      </c>
      <c r="R7" s="2">
        <f t="shared" si="9"/>
        <v>1</v>
      </c>
      <c r="S7" s="2">
        <f t="shared" si="10"/>
        <v>1</v>
      </c>
      <c r="T7" s="2">
        <f t="shared" si="11"/>
        <v>0</v>
      </c>
      <c r="U7" s="2" t="s">
        <v>42</v>
      </c>
      <c r="V7" s="2">
        <f t="shared" si="12"/>
        <v>0</v>
      </c>
      <c r="W7" s="2">
        <f t="shared" si="13"/>
        <v>1</v>
      </c>
      <c r="X7" s="2">
        <f t="shared" si="14"/>
        <v>1</v>
      </c>
      <c r="Y7" s="2">
        <f t="shared" si="15"/>
        <v>0</v>
      </c>
    </row>
    <row r="8" spans="1:26">
      <c r="A8" t="s">
        <v>6</v>
      </c>
      <c r="B8" t="s">
        <v>16</v>
      </c>
      <c r="C8">
        <f>C2-C1</f>
        <v>7682</v>
      </c>
      <c r="E8" t="s">
        <v>28</v>
      </c>
      <c r="G8" s="2">
        <f t="shared" si="0"/>
        <v>0</v>
      </c>
      <c r="H8" s="2">
        <f t="shared" si="1"/>
        <v>0</v>
      </c>
      <c r="I8" s="2">
        <f t="shared" si="2"/>
        <v>0</v>
      </c>
      <c r="J8" s="2">
        <f t="shared" si="3"/>
        <v>1</v>
      </c>
      <c r="K8" s="2" t="s">
        <v>42</v>
      </c>
      <c r="L8" s="2">
        <f t="shared" si="4"/>
        <v>1</v>
      </c>
      <c r="M8" s="2">
        <f t="shared" si="5"/>
        <v>1</v>
      </c>
      <c r="N8" s="2">
        <f t="shared" si="6"/>
        <v>1</v>
      </c>
      <c r="O8" s="2">
        <f t="shared" si="7"/>
        <v>0</v>
      </c>
      <c r="P8" s="2" t="s">
        <v>42</v>
      </c>
      <c r="Q8" s="2">
        <f t="shared" si="8"/>
        <v>0</v>
      </c>
      <c r="R8" s="2">
        <f t="shared" si="9"/>
        <v>0</v>
      </c>
      <c r="S8" s="2">
        <f t="shared" si="10"/>
        <v>0</v>
      </c>
      <c r="T8" s="2">
        <f t="shared" si="11"/>
        <v>0</v>
      </c>
      <c r="U8" s="2" t="s">
        <v>42</v>
      </c>
      <c r="V8" s="2">
        <f t="shared" si="12"/>
        <v>0</v>
      </c>
      <c r="W8" s="2">
        <f t="shared" si="13"/>
        <v>0</v>
      </c>
      <c r="X8" s="2">
        <f t="shared" si="14"/>
        <v>1</v>
      </c>
      <c r="Y8" s="2">
        <f t="shared" si="15"/>
        <v>0</v>
      </c>
    </row>
    <row r="9" spans="1:26">
      <c r="A9" t="s">
        <v>7</v>
      </c>
      <c r="B9" t="s">
        <v>17</v>
      </c>
      <c r="C9">
        <f>65536-C7</f>
        <v>30618</v>
      </c>
      <c r="E9" t="s">
        <v>29</v>
      </c>
      <c r="G9" s="2">
        <f t="shared" si="0"/>
        <v>0</v>
      </c>
      <c r="H9" s="2">
        <f t="shared" si="1"/>
        <v>1</v>
      </c>
      <c r="I9" s="2">
        <f t="shared" si="2"/>
        <v>1</v>
      </c>
      <c r="J9" s="2">
        <f t="shared" si="3"/>
        <v>1</v>
      </c>
      <c r="K9" s="2" t="s">
        <v>42</v>
      </c>
      <c r="L9" s="2">
        <f t="shared" si="4"/>
        <v>0</v>
      </c>
      <c r="M9" s="2">
        <f t="shared" si="5"/>
        <v>1</v>
      </c>
      <c r="N9" s="2">
        <f t="shared" si="6"/>
        <v>1</v>
      </c>
      <c r="O9" s="2">
        <f t="shared" si="7"/>
        <v>1</v>
      </c>
      <c r="P9" s="2" t="s">
        <v>42</v>
      </c>
      <c r="Q9" s="2">
        <f t="shared" si="8"/>
        <v>1</v>
      </c>
      <c r="R9" s="2">
        <f t="shared" si="9"/>
        <v>0</v>
      </c>
      <c r="S9" s="2">
        <f t="shared" si="10"/>
        <v>0</v>
      </c>
      <c r="T9" s="2">
        <f t="shared" si="11"/>
        <v>1</v>
      </c>
      <c r="U9" s="2" t="s">
        <v>42</v>
      </c>
      <c r="V9" s="2">
        <f t="shared" si="12"/>
        <v>1</v>
      </c>
      <c r="W9" s="2">
        <f t="shared" si="13"/>
        <v>0</v>
      </c>
      <c r="X9" s="2">
        <f t="shared" si="14"/>
        <v>1</v>
      </c>
      <c r="Y9" s="2">
        <f t="shared" si="15"/>
        <v>0</v>
      </c>
    </row>
    <row r="10" spans="1:26">
      <c r="A10" t="s">
        <v>8</v>
      </c>
      <c r="B10" s="1" t="s">
        <v>18</v>
      </c>
      <c r="C10">
        <f t="shared" ref="C10:C15" si="16">-C4</f>
        <v>-6518</v>
      </c>
      <c r="E10" t="s">
        <v>30</v>
      </c>
      <c r="F10" s="1" t="s">
        <v>36</v>
      </c>
      <c r="G10" s="2">
        <f>MOD(INT($C10/32768),2)</f>
        <v>1</v>
      </c>
      <c r="H10" s="2">
        <f>MOD(INT($C10/16384),2)</f>
        <v>1</v>
      </c>
      <c r="I10" s="2">
        <f>MOD(INT($C10/8192),2)</f>
        <v>1</v>
      </c>
      <c r="J10" s="2">
        <f>MOD(INT($C10/4096),2)</f>
        <v>0</v>
      </c>
      <c r="K10" s="2" t="s">
        <v>42</v>
      </c>
      <c r="L10" s="2">
        <f>MOD(INT($C10/2048),2)</f>
        <v>0</v>
      </c>
      <c r="M10" s="2">
        <f>MOD(INT($C10/1024),2)</f>
        <v>1</v>
      </c>
      <c r="N10" s="2">
        <f>MOD(INT($C10/512),2)</f>
        <v>1</v>
      </c>
      <c r="O10" s="2">
        <f>MOD(INT($C10/256),2)</f>
        <v>0</v>
      </c>
      <c r="P10" s="2" t="s">
        <v>42</v>
      </c>
      <c r="Q10" s="2">
        <f>MOD(INT($C10/128),2)</f>
        <v>1</v>
      </c>
      <c r="R10" s="2">
        <f>MOD(INT($C10/64),2)</f>
        <v>0</v>
      </c>
      <c r="S10" s="2">
        <f>MOD(INT($C10/32),2)</f>
        <v>0</v>
      </c>
      <c r="T10" s="2">
        <f>MOD(INT($C10/16),2)</f>
        <v>0</v>
      </c>
      <c r="U10" s="2" t="s">
        <v>42</v>
      </c>
      <c r="V10" s="2">
        <f>MOD(INT($C10/8),2)</f>
        <v>1</v>
      </c>
      <c r="W10" s="2">
        <f>MOD(INT($C10/4),2)</f>
        <v>0</v>
      </c>
      <c r="X10" s="2">
        <f>MOD(INT($C10/2),2)</f>
        <v>1</v>
      </c>
      <c r="Y10" s="2">
        <f>MOD(INT($C10/1),2)</f>
        <v>0</v>
      </c>
    </row>
    <row r="11" spans="1:26">
      <c r="A11" t="s">
        <v>9</v>
      </c>
      <c r="B11" s="1" t="s">
        <v>19</v>
      </c>
      <c r="C11">
        <f t="shared" si="16"/>
        <v>-14200</v>
      </c>
      <c r="E11" t="s">
        <v>31</v>
      </c>
      <c r="F11" s="1" t="s">
        <v>37</v>
      </c>
      <c r="G11" s="2">
        <f>MOD(INT($C11/32768),2)</f>
        <v>1</v>
      </c>
      <c r="H11" s="2">
        <f>MOD(INT($C11/16384),2)</f>
        <v>1</v>
      </c>
      <c r="I11" s="2">
        <f>MOD(INT($C11/8192),2)</f>
        <v>0</v>
      </c>
      <c r="J11" s="2">
        <f>MOD(INT($C11/4096),2)</f>
        <v>0</v>
      </c>
      <c r="K11" s="2" t="s">
        <v>42</v>
      </c>
      <c r="L11" s="2">
        <f>MOD(INT($C11/2048),2)</f>
        <v>1</v>
      </c>
      <c r="M11" s="2">
        <f>MOD(INT($C11/1024),2)</f>
        <v>0</v>
      </c>
      <c r="N11" s="2">
        <f>MOD(INT($C11/512),2)</f>
        <v>0</v>
      </c>
      <c r="O11" s="2">
        <f>MOD(INT($C11/256),2)</f>
        <v>0</v>
      </c>
      <c r="P11" s="2" t="s">
        <v>42</v>
      </c>
      <c r="Q11" s="2">
        <f>MOD(INT($C11/128),2)</f>
        <v>1</v>
      </c>
      <c r="R11" s="2">
        <f>MOD(INT($C11/64),2)</f>
        <v>0</v>
      </c>
      <c r="S11" s="2">
        <f>MOD(INT($C11/32),2)</f>
        <v>0</v>
      </c>
      <c r="T11" s="2">
        <f>MOD(INT($C11/16),2)</f>
        <v>0</v>
      </c>
      <c r="U11" s="2" t="s">
        <v>42</v>
      </c>
      <c r="V11" s="2">
        <f>MOD(INT($C11/8),2)</f>
        <v>1</v>
      </c>
      <c r="W11" s="2">
        <f>MOD(INT($C11/4),2)</f>
        <v>0</v>
      </c>
      <c r="X11" s="2">
        <f>MOD(INT($C11/2),2)</f>
        <v>0</v>
      </c>
      <c r="Y11" s="2">
        <f>MOD(INT($C11/1),2)</f>
        <v>0</v>
      </c>
    </row>
    <row r="12" spans="1:26">
      <c r="A12" t="s">
        <v>10</v>
      </c>
      <c r="B12" s="1" t="s">
        <v>20</v>
      </c>
      <c r="C12">
        <f t="shared" si="16"/>
        <v>-20718</v>
      </c>
      <c r="E12" t="s">
        <v>32</v>
      </c>
      <c r="F12" s="1" t="s">
        <v>38</v>
      </c>
      <c r="G12" s="2">
        <f>MOD(INT($C12/32768),2)</f>
        <v>1</v>
      </c>
      <c r="H12" s="2">
        <f>MOD(INT($C12/16384),2)</f>
        <v>0</v>
      </c>
      <c r="I12" s="2">
        <f>MOD(INT($C12/8192),2)</f>
        <v>1</v>
      </c>
      <c r="J12" s="2">
        <f>MOD(INT($C12/4096),2)</f>
        <v>0</v>
      </c>
      <c r="K12" s="2" t="s">
        <v>42</v>
      </c>
      <c r="L12" s="2">
        <f>MOD(INT($C12/2048),2)</f>
        <v>1</v>
      </c>
      <c r="M12" s="2">
        <f>MOD(INT($C12/1024),2)</f>
        <v>1</v>
      </c>
      <c r="N12" s="2">
        <f>MOD(INT($C12/512),2)</f>
        <v>1</v>
      </c>
      <c r="O12" s="2">
        <f>MOD(INT($C12/256),2)</f>
        <v>1</v>
      </c>
      <c r="P12" s="2" t="s">
        <v>42</v>
      </c>
      <c r="Q12" s="2">
        <f>MOD(INT($C12/128),2)</f>
        <v>0</v>
      </c>
      <c r="R12" s="2">
        <f>MOD(INT($C12/64),2)</f>
        <v>0</v>
      </c>
      <c r="S12" s="2">
        <f>MOD(INT($C12/32),2)</f>
        <v>0</v>
      </c>
      <c r="T12" s="2">
        <f>MOD(INT($C12/16),2)</f>
        <v>1</v>
      </c>
      <c r="U12" s="2" t="s">
        <v>42</v>
      </c>
      <c r="V12" s="2">
        <f>MOD(INT($C12/8),2)</f>
        <v>0</v>
      </c>
      <c r="W12" s="2">
        <f>MOD(INT($C12/4),2)</f>
        <v>0</v>
      </c>
      <c r="X12" s="2">
        <f>MOD(INT($C12/2),2)</f>
        <v>1</v>
      </c>
      <c r="Y12" s="2">
        <f>MOD(INT($C12/1),2)</f>
        <v>0</v>
      </c>
    </row>
    <row r="13" spans="1:26">
      <c r="A13" t="s">
        <v>11</v>
      </c>
      <c r="B13" s="1" t="s">
        <v>21</v>
      </c>
      <c r="C13">
        <f t="shared" si="16"/>
        <v>-34918</v>
      </c>
      <c r="E13" t="s">
        <v>33</v>
      </c>
      <c r="F13" s="1" t="s">
        <v>39</v>
      </c>
      <c r="G13" s="2">
        <f t="shared" ref="G13:G15" si="17">MOD(INT($C13/32768),2)</f>
        <v>0</v>
      </c>
      <c r="H13" s="2">
        <f t="shared" ref="H13:H15" si="18">MOD(INT($C13/16384),2)</f>
        <v>1</v>
      </c>
      <c r="I13" s="2">
        <f t="shared" ref="I13:I15" si="19">MOD(INT($C13/8192),2)</f>
        <v>1</v>
      </c>
      <c r="J13" s="2">
        <f t="shared" ref="J13:J15" si="20">MOD(INT($C13/4096),2)</f>
        <v>1</v>
      </c>
      <c r="K13" s="2" t="s">
        <v>42</v>
      </c>
      <c r="L13" s="2">
        <f t="shared" ref="L13:L15" si="21">MOD(INT($C13/2048),2)</f>
        <v>0</v>
      </c>
      <c r="M13" s="2">
        <f t="shared" ref="M13:M15" si="22">MOD(INT($C13/1024),2)</f>
        <v>1</v>
      </c>
      <c r="N13" s="2">
        <f t="shared" ref="N13:N15" si="23">MOD(INT($C13/512),2)</f>
        <v>1</v>
      </c>
      <c r="O13" s="2">
        <f t="shared" ref="O13:O15" si="24">MOD(INT($C13/256),2)</f>
        <v>1</v>
      </c>
      <c r="P13" s="2" t="s">
        <v>42</v>
      </c>
      <c r="Q13" s="2">
        <f t="shared" ref="Q13:Q15" si="25">MOD(INT($C13/128),2)</f>
        <v>1</v>
      </c>
      <c r="R13" s="2">
        <f t="shared" ref="R13:R15" si="26">MOD(INT($C13/64),2)</f>
        <v>0</v>
      </c>
      <c r="S13" s="2">
        <f t="shared" ref="S13:S15" si="27">MOD(INT($C13/32),2)</f>
        <v>0</v>
      </c>
      <c r="T13" s="2">
        <f t="shared" ref="T13:T15" si="28">MOD(INT($C13/16),2)</f>
        <v>1</v>
      </c>
      <c r="U13" s="2" t="s">
        <v>42</v>
      </c>
      <c r="V13" s="2">
        <f t="shared" ref="V13:V15" si="29">MOD(INT($C13/8),2)</f>
        <v>1</v>
      </c>
      <c r="W13" s="2">
        <f t="shared" ref="W13:W15" si="30">MOD(INT($C13/4),2)</f>
        <v>0</v>
      </c>
      <c r="X13" s="2">
        <f t="shared" ref="X13:X15" si="31">MOD(INT($C13/2),2)</f>
        <v>1</v>
      </c>
      <c r="Y13" s="2">
        <f t="shared" ref="Y13:Y15" si="32">MOD(INT($C13/1),2)</f>
        <v>0</v>
      </c>
    </row>
    <row r="14" spans="1:26">
      <c r="A14" t="s">
        <v>12</v>
      </c>
      <c r="B14" s="1" t="s">
        <v>22</v>
      </c>
      <c r="C14">
        <f t="shared" si="16"/>
        <v>-7682</v>
      </c>
      <c r="E14" t="s">
        <v>34</v>
      </c>
      <c r="F14" s="1" t="s">
        <v>40</v>
      </c>
      <c r="G14" s="2">
        <f t="shared" si="17"/>
        <v>1</v>
      </c>
      <c r="H14" s="2">
        <f t="shared" si="18"/>
        <v>1</v>
      </c>
      <c r="I14" s="2">
        <f t="shared" si="19"/>
        <v>1</v>
      </c>
      <c r="J14" s="2">
        <f t="shared" si="20"/>
        <v>0</v>
      </c>
      <c r="K14" s="2" t="s">
        <v>42</v>
      </c>
      <c r="L14" s="2">
        <f t="shared" si="21"/>
        <v>0</v>
      </c>
      <c r="M14" s="2">
        <f t="shared" si="22"/>
        <v>0</v>
      </c>
      <c r="N14" s="2">
        <f t="shared" si="23"/>
        <v>0</v>
      </c>
      <c r="O14" s="2">
        <f t="shared" si="24"/>
        <v>1</v>
      </c>
      <c r="P14" s="2" t="s">
        <v>42</v>
      </c>
      <c r="Q14" s="2">
        <f t="shared" si="25"/>
        <v>1</v>
      </c>
      <c r="R14" s="2">
        <f t="shared" si="26"/>
        <v>1</v>
      </c>
      <c r="S14" s="2">
        <f t="shared" si="27"/>
        <v>1</v>
      </c>
      <c r="T14" s="2">
        <f t="shared" si="28"/>
        <v>1</v>
      </c>
      <c r="U14" s="2" t="s">
        <v>42</v>
      </c>
      <c r="V14" s="2">
        <f t="shared" si="29"/>
        <v>1</v>
      </c>
      <c r="W14" s="2">
        <f t="shared" si="30"/>
        <v>1</v>
      </c>
      <c r="X14" s="2">
        <f t="shared" si="31"/>
        <v>1</v>
      </c>
      <c r="Y14" s="2">
        <f t="shared" si="32"/>
        <v>0</v>
      </c>
    </row>
    <row r="15" spans="1:26">
      <c r="A15" t="s">
        <v>13</v>
      </c>
      <c r="B15" s="1" t="s">
        <v>23</v>
      </c>
      <c r="C15">
        <f t="shared" si="16"/>
        <v>-30618</v>
      </c>
      <c r="E15" t="s">
        <v>35</v>
      </c>
      <c r="F15" s="1" t="s">
        <v>41</v>
      </c>
      <c r="G15" s="2">
        <f t="shared" si="17"/>
        <v>1</v>
      </c>
      <c r="H15" s="2">
        <f t="shared" si="18"/>
        <v>0</v>
      </c>
      <c r="I15" s="2">
        <f t="shared" si="19"/>
        <v>0</v>
      </c>
      <c r="J15" s="2">
        <f t="shared" si="20"/>
        <v>0</v>
      </c>
      <c r="K15" s="2" t="s">
        <v>42</v>
      </c>
      <c r="L15" s="2">
        <f t="shared" si="21"/>
        <v>1</v>
      </c>
      <c r="M15" s="2">
        <f t="shared" si="22"/>
        <v>0</v>
      </c>
      <c r="N15" s="2">
        <f t="shared" si="23"/>
        <v>0</v>
      </c>
      <c r="O15" s="2">
        <f t="shared" si="24"/>
        <v>0</v>
      </c>
      <c r="P15" s="2" t="s">
        <v>42</v>
      </c>
      <c r="Q15" s="2">
        <f t="shared" si="25"/>
        <v>0</v>
      </c>
      <c r="R15" s="2">
        <f t="shared" si="26"/>
        <v>1</v>
      </c>
      <c r="S15" s="2">
        <f t="shared" si="27"/>
        <v>1</v>
      </c>
      <c r="T15" s="2">
        <f t="shared" si="28"/>
        <v>0</v>
      </c>
      <c r="U15" s="2" t="s">
        <v>42</v>
      </c>
      <c r="V15" s="2">
        <f t="shared" si="29"/>
        <v>0</v>
      </c>
      <c r="W15" s="2">
        <f t="shared" si="30"/>
        <v>1</v>
      </c>
      <c r="X15" s="2">
        <f t="shared" si="31"/>
        <v>1</v>
      </c>
      <c r="Y15" s="2">
        <f t="shared" si="32"/>
        <v>0</v>
      </c>
    </row>
    <row r="17" spans="4:32">
      <c r="E17" t="s">
        <v>43</v>
      </c>
      <c r="G17" s="2">
        <f>G4</f>
        <v>0</v>
      </c>
      <c r="H17" s="2">
        <f>H4</f>
        <v>0</v>
      </c>
      <c r="I17" s="2">
        <f>I4</f>
        <v>0</v>
      </c>
      <c r="J17" s="2">
        <f t="shared" ref="J17:Y17" si="33">J4</f>
        <v>1</v>
      </c>
      <c r="K17" s="2" t="str">
        <f t="shared" si="33"/>
        <v>.</v>
      </c>
      <c r="L17" s="2">
        <f t="shared" si="33"/>
        <v>1</v>
      </c>
      <c r="M17" s="2">
        <f t="shared" si="33"/>
        <v>0</v>
      </c>
      <c r="N17" s="2">
        <f t="shared" si="33"/>
        <v>0</v>
      </c>
      <c r="O17" s="2">
        <f t="shared" si="33"/>
        <v>1</v>
      </c>
      <c r="P17" s="2" t="str">
        <f t="shared" si="33"/>
        <v>.</v>
      </c>
      <c r="Q17" s="2">
        <f t="shared" si="33"/>
        <v>0</v>
      </c>
      <c r="R17" s="2">
        <f t="shared" si="33"/>
        <v>1</v>
      </c>
      <c r="S17" s="2">
        <f t="shared" si="33"/>
        <v>1</v>
      </c>
      <c r="T17" s="2">
        <f t="shared" si="33"/>
        <v>1</v>
      </c>
      <c r="U17" s="2" t="str">
        <f t="shared" si="33"/>
        <v>.</v>
      </c>
      <c r="V17" s="2">
        <f t="shared" si="33"/>
        <v>0</v>
      </c>
      <c r="W17" s="2">
        <f t="shared" si="33"/>
        <v>1</v>
      </c>
      <c r="X17" s="2">
        <f t="shared" si="33"/>
        <v>1</v>
      </c>
      <c r="Y17" s="2">
        <f t="shared" si="33"/>
        <v>0</v>
      </c>
      <c r="AC17" t="s">
        <v>43</v>
      </c>
      <c r="AD17">
        <f>C4</f>
        <v>6518</v>
      </c>
      <c r="AF17" s="9" t="str">
        <f>"При сложении "&amp;IF(AD17&lt;0,"отрицательного","положительного")&amp;" и "&amp;IF(AD18&lt;0,"отрицательного","положительного")&amp;" чисел получилось "&amp;IF(AA20&lt;0,"отрицательное","положительное")&amp;". "&amp;IF(AA20=AD20,"Результат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 так как мы вышли за пределы ОДЗ")</f>
        <v>При сложении положительного и положительного чисел получилось положительное. Результат выполнения операций верный и корректный, совпадает с суммой десятичных эквивалентов</v>
      </c>
    </row>
    <row r="18" spans="4:32">
      <c r="D18" s="1" t="s">
        <v>45</v>
      </c>
      <c r="E18" t="s">
        <v>44</v>
      </c>
      <c r="G18">
        <f>G5</f>
        <v>0</v>
      </c>
      <c r="H18">
        <f>H5</f>
        <v>0</v>
      </c>
      <c r="I18">
        <f t="shared" ref="I18:Y18" si="34">I5</f>
        <v>1</v>
      </c>
      <c r="J18">
        <f t="shared" si="34"/>
        <v>1</v>
      </c>
      <c r="K18" t="str">
        <f t="shared" si="34"/>
        <v>.</v>
      </c>
      <c r="L18">
        <f t="shared" si="34"/>
        <v>0</v>
      </c>
      <c r="M18">
        <f t="shared" si="34"/>
        <v>1</v>
      </c>
      <c r="N18">
        <f t="shared" si="34"/>
        <v>1</v>
      </c>
      <c r="O18">
        <f t="shared" si="34"/>
        <v>1</v>
      </c>
      <c r="P18" t="str">
        <f t="shared" si="34"/>
        <v>.</v>
      </c>
      <c r="Q18">
        <f t="shared" si="34"/>
        <v>0</v>
      </c>
      <c r="R18">
        <f t="shared" si="34"/>
        <v>1</v>
      </c>
      <c r="S18">
        <f t="shared" si="34"/>
        <v>1</v>
      </c>
      <c r="T18">
        <f t="shared" si="34"/>
        <v>1</v>
      </c>
      <c r="U18" t="str">
        <f t="shared" si="34"/>
        <v>.</v>
      </c>
      <c r="V18">
        <f t="shared" si="34"/>
        <v>1</v>
      </c>
      <c r="W18">
        <f t="shared" si="34"/>
        <v>0</v>
      </c>
      <c r="X18">
        <f t="shared" si="34"/>
        <v>0</v>
      </c>
      <c r="Y18">
        <f t="shared" si="34"/>
        <v>0</v>
      </c>
      <c r="AA18" s="1"/>
      <c r="AB18" s="1" t="s">
        <v>45</v>
      </c>
      <c r="AC18" t="s">
        <v>44</v>
      </c>
      <c r="AD18">
        <f>C5</f>
        <v>14200</v>
      </c>
      <c r="AF18" s="9"/>
    </row>
    <row r="19" spans="4:32">
      <c r="E19" t="str">
        <f>E33</f>
        <v>-------</v>
      </c>
      <c r="F19" s="1" t="s">
        <v>65</v>
      </c>
      <c r="G19" s="1" t="s">
        <v>53</v>
      </c>
      <c r="H19" s="1" t="s">
        <v>53</v>
      </c>
      <c r="I19" s="1" t="s">
        <v>53</v>
      </c>
      <c r="J19" s="1" t="s">
        <v>53</v>
      </c>
      <c r="K19" s="1" t="s">
        <v>53</v>
      </c>
      <c r="L19" s="1" t="s">
        <v>53</v>
      </c>
      <c r="M19" s="1" t="s">
        <v>53</v>
      </c>
      <c r="N19" s="1" t="s">
        <v>53</v>
      </c>
      <c r="O19" s="1" t="s">
        <v>53</v>
      </c>
      <c r="P19" s="1" t="s">
        <v>53</v>
      </c>
      <c r="Q19" s="1" t="s">
        <v>53</v>
      </c>
      <c r="R19" s="1" t="s">
        <v>53</v>
      </c>
      <c r="S19" s="1" t="s">
        <v>53</v>
      </c>
      <c r="T19" s="1" t="s">
        <v>53</v>
      </c>
      <c r="U19" s="1" t="s">
        <v>53</v>
      </c>
      <c r="V19" s="1" t="s">
        <v>53</v>
      </c>
      <c r="W19" s="1" t="s">
        <v>53</v>
      </c>
      <c r="X19" s="1" t="s">
        <v>53</v>
      </c>
      <c r="Y19" s="1" t="s">
        <v>53</v>
      </c>
      <c r="AC19" s="1" t="s">
        <v>69</v>
      </c>
      <c r="AD19" s="1" t="s">
        <v>66</v>
      </c>
      <c r="AF19" s="9"/>
    </row>
    <row r="20" spans="4:32">
      <c r="G20">
        <f>MOD(G17+G18+INT((H17+H18+INT((I17+I18+INT((J17+J18+INT((L17+L18+INT((M17+M18+INT((N17+N18+INT((O17+O18+INT((Q17+Q18+INT((R17+R18+INT((S17+S18+INT((T17+T18+INT((V17+V18+INT((W17+W18+INT((X17+X18+INT((Y17+Y18)/2))/2))/2))/2))/2))/2))/2))/2))/2))/2))/2))/2))/2))/2))/2),2)</f>
        <v>0</v>
      </c>
      <c r="H20">
        <f>MOD(H17+H18+INT((I17+I18+INT((J17+J18+INT((L17+L18+INT((M17+M18+INT((N17+N18+INT((O17+O18+INT((Q17+Q18+INT((R17+R18+INT((S17+S18+INT((T17+T18+INT((V17+V18+INT((W17+W18+INT((X17+X18+INT((Y17+Y18)/2))/2))/2))/2))/2))/2))/2))/2))/2))/2))/2))/2))/2))/2),2)</f>
        <v>1</v>
      </c>
      <c r="I20">
        <f>MOD(I17+I18+INT((J17+J18+INT((L17+L18+INT((M17+M18+INT((N17+N18+INT((O17+O18+INT((Q17+Q18+INT((R17+R18+INT((S17+S18+INT((T17+T18+INT((V17+V18+INT((W17+W18+INT((X17+X18+INT((Y17+Y18)/2))/2))/2))/2))/2))/2))/2))/2))/2))/2))/2))/2))/2),2)</f>
        <v>0</v>
      </c>
      <c r="J20">
        <f>MOD(J17+J18+INT((L17+L18+INT((M17+M18+INT((N17+N18+INT((O17+O18+INT((Q17+Q18+INT((R17+R18+INT((S17+S18+INT((T17+T18+INT((V17+V18+INT((W17+W18+INT((X17+X18+INT((Y17+Y18)/2))/2))/2))/2))/2))/2))/2))/2))/2))/2))/2))/2),2)</f>
        <v>1</v>
      </c>
      <c r="K20" t="s">
        <v>42</v>
      </c>
      <c r="L20">
        <f>MOD(L17+L18+INT((M17+M18+INT((N17+N18+INT((O17+O18+INT((Q17+Q18+INT((R17+R18+INT((S17+S18+INT((T17+T18+INT((V17+V18+INT((W17+W18+INT((X17+X18+INT((Y17+Y18)/2))/2))/2))/2))/2))/2))/2))/2))/2))/2))/2),2)</f>
        <v>0</v>
      </c>
      <c r="M20">
        <f>MOD(M17+M18+INT((N17+N18+INT((O17+O18+INT((Q17+Q18+INT((R17+R18+INT((S17+S18+INT((T17+T18+INT((V17+V18+INT((W17+W18+INT((X17+X18+INT((Y17+Y18)/2))/2))/2))/2))/2))/2))/2))/2))/2))/2),2)</f>
        <v>0</v>
      </c>
      <c r="N20">
        <f>MOD(N17+N18+INT((O17+O18+INT((Q17+Q18+INT((R17+R18+INT((S17+S18+INT((T17+T18+INT((V17+V18+INT((W17+W18+INT((X17+X18+INT((Y17+Y18)/2))/2))/2))/2))/2))/2))/2))/2))/2),2)</f>
        <v>0</v>
      </c>
      <c r="O20">
        <f>MOD(O17+O18+INT((Q17+Q18+INT((R17+R18+INT((S17+S18+INT((T17+T18+INT((V17+V18+INT((W17+W18+INT((X17+X18+INT((Y17+Y18)/2))/2))/2))/2))/2))/2))/2))/2),2)</f>
        <v>0</v>
      </c>
      <c r="P20" t="s">
        <v>42</v>
      </c>
      <c r="Q20">
        <f>MOD(Q17+Q18+INT((R17+R18+INT((S17+S18+INT((T17+T18+INT((V17+V18+INT((W17+W18+INT((X17+X18+INT((Y17+Y18)/2))/2))/2))/2))/2))/2))/2),2)</f>
        <v>1</v>
      </c>
      <c r="R20">
        <f>MOD(R17+R18+INT((S17+S18+INT((T17+T18+INT((V17+V18+INT((W17+W18+INT((X17+X18+INT((Y17+Y18)/2))/2))/2))/2))/2))/2),2)</f>
        <v>1</v>
      </c>
      <c r="S20">
        <f>MOD(S17+S18+INT((T17+T18+INT((V17+V18+INT((W17+W18+INT((X17+X18+INT((Y17+Y18)/2))/2))/2))/2))/2),2)</f>
        <v>1</v>
      </c>
      <c r="T20">
        <f>MOD(T17+T18+INT((V17+V18+INT((W17+W18+INT((X17+X18+INT((Y17+Y18)/2))/2))/2))/2),2)</f>
        <v>0</v>
      </c>
      <c r="U20" t="s">
        <v>42</v>
      </c>
      <c r="V20">
        <f>MOD(V17+V18+INT((W17+W18+INT((X17+X18+INT((Y17+Y18)/2))/2))/2),2)</f>
        <v>1</v>
      </c>
      <c r="W20">
        <f>MOD(SUM(W17,W18,INT(SUM(X17,X18,INT(SUM(Y17,Y18)/2))/2)),2)</f>
        <v>1</v>
      </c>
      <c r="X20">
        <f>MOD(SUM(X17, X18, INT(SUM(Y17,Y18)/2)),2)</f>
        <v>1</v>
      </c>
      <c r="Y20">
        <f>MOD(SUM(Y17, Y18), 2)</f>
        <v>0</v>
      </c>
      <c r="Z20" s="6" t="s">
        <v>67</v>
      </c>
      <c r="AA20" s="5">
        <f>IF(G20=1,(G20*32768+H20*16384+I20*8192+J20*4096+L20*2048+M20*1024+N20*512+O20*256+Q20*128+R20*64+S20*32+T20*16+V20*8+W20*4+X20*2+Y20*1)-65536,G20*32768+H20*16384+I20*8192+J20*4096+L20*2048+M20*1024+N20*512+O20*256+Q20*128+R20*64+S20*32+T20*16+V20*8+W20*4+X20*2+Y20*1)</f>
        <v>20718</v>
      </c>
      <c r="AD20">
        <f>SUM(AD17:AD18)</f>
        <v>20718</v>
      </c>
      <c r="AF20" s="9"/>
    </row>
    <row r="21" spans="4:32">
      <c r="G21" s="1"/>
    </row>
    <row r="22" spans="4:32">
      <c r="G22" s="8" t="s">
        <v>46</v>
      </c>
      <c r="H22" s="8"/>
      <c r="I22" s="8"/>
      <c r="J22">
        <f>IF(AND(G17=1,G18=1),1,IF(AND(G17=0,G18=0),0,IF(AND(OR(G17=1,G18=1),G20=0),1,0)))</f>
        <v>0</v>
      </c>
      <c r="L22" s="8" t="s">
        <v>47</v>
      </c>
      <c r="M22" s="8"/>
      <c r="N22" s="8"/>
      <c r="O22">
        <f>IF(MOD(SUM(Y20,X20,W20,V20,T20,S20,R20,Q20),2)=0,1,0)</f>
        <v>1</v>
      </c>
      <c r="Q22" s="8" t="s">
        <v>48</v>
      </c>
      <c r="R22" s="8"/>
      <c r="S22" s="8"/>
      <c r="T22">
        <f>MOD(0+0+INT((V17+V18+INT((W17+W18+INT((X17+X18+INT((Y17+Y18)/2))/2))/2))/2),2)</f>
        <v>0</v>
      </c>
      <c r="V22" s="7" t="s">
        <v>49</v>
      </c>
      <c r="W22" s="7"/>
      <c r="X22" s="7"/>
      <c r="Y22">
        <f>IF(SUM(G20,H20,I20,J20,L20,M20,N20,O20,Q20,R20,S20,T20,V20,W20,X20,Y20)=0,1,0)</f>
        <v>0</v>
      </c>
      <c r="Z22" s="4" t="s">
        <v>50</v>
      </c>
      <c r="AA22" s="5">
        <f>G20</f>
        <v>0</v>
      </c>
      <c r="AB22" s="4" t="s">
        <v>51</v>
      </c>
      <c r="AC22" s="5">
        <f>IF(AND(G17=G18,G17&lt;&gt;G20),1,0)</f>
        <v>0</v>
      </c>
    </row>
    <row r="24" spans="4:32">
      <c r="E24" t="s">
        <v>43</v>
      </c>
      <c r="G24">
        <f>G4</f>
        <v>0</v>
      </c>
      <c r="H24">
        <f>H4</f>
        <v>0</v>
      </c>
      <c r="I24">
        <f t="shared" ref="I24:Y24" si="35">I4</f>
        <v>0</v>
      </c>
      <c r="J24">
        <f t="shared" si="35"/>
        <v>1</v>
      </c>
      <c r="K24" t="str">
        <f t="shared" si="35"/>
        <v>.</v>
      </c>
      <c r="L24">
        <f t="shared" si="35"/>
        <v>1</v>
      </c>
      <c r="M24">
        <f t="shared" si="35"/>
        <v>0</v>
      </c>
      <c r="N24">
        <f t="shared" si="35"/>
        <v>0</v>
      </c>
      <c r="O24">
        <f t="shared" si="35"/>
        <v>1</v>
      </c>
      <c r="P24" t="str">
        <f t="shared" si="35"/>
        <v>.</v>
      </c>
      <c r="Q24">
        <f t="shared" si="35"/>
        <v>0</v>
      </c>
      <c r="R24">
        <f t="shared" si="35"/>
        <v>1</v>
      </c>
      <c r="S24">
        <f t="shared" si="35"/>
        <v>1</v>
      </c>
      <c r="T24">
        <f t="shared" si="35"/>
        <v>1</v>
      </c>
      <c r="U24" t="str">
        <f t="shared" si="35"/>
        <v>.</v>
      </c>
      <c r="V24">
        <f t="shared" si="35"/>
        <v>0</v>
      </c>
      <c r="W24">
        <f t="shared" si="35"/>
        <v>1</v>
      </c>
      <c r="X24">
        <f t="shared" si="35"/>
        <v>1</v>
      </c>
      <c r="Y24">
        <f t="shared" si="35"/>
        <v>0</v>
      </c>
      <c r="AC24" t="s">
        <v>43</v>
      </c>
      <c r="AD24">
        <f>C4</f>
        <v>6518</v>
      </c>
      <c r="AF24" s="9" t="str">
        <f>"При сложении "&amp;IF(AD24&lt;0,"отрицательного","положительного")&amp;" и "&amp;IF(AD25&lt;0,"отрицательного","положительного")&amp;" чисел получилось "&amp;IF(AA27&lt;0,"отрицательное","положительное")&amp;". "&amp;IF(AA27=AD27,"Результат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эквивалентов, так как мы вышли за пределы ОДЗ.")</f>
        <v>При сложении положительного и отрицательного чисел получилось отрицательное. Результат выполнения операций верный и корректный, совпадает с суммой десятичных эквивалентов</v>
      </c>
    </row>
    <row r="25" spans="4:32">
      <c r="D25" s="1" t="s">
        <v>45</v>
      </c>
      <c r="E25" t="s">
        <v>54</v>
      </c>
      <c r="G25">
        <f>G11</f>
        <v>1</v>
      </c>
      <c r="H25">
        <f>H11</f>
        <v>1</v>
      </c>
      <c r="I25">
        <f>I11</f>
        <v>0</v>
      </c>
      <c r="J25">
        <f t="shared" ref="J25:Y25" si="36">J11</f>
        <v>0</v>
      </c>
      <c r="K25" t="str">
        <f t="shared" si="36"/>
        <v>.</v>
      </c>
      <c r="L25">
        <f t="shared" si="36"/>
        <v>1</v>
      </c>
      <c r="M25">
        <f t="shared" si="36"/>
        <v>0</v>
      </c>
      <c r="N25">
        <f t="shared" si="36"/>
        <v>0</v>
      </c>
      <c r="O25">
        <f t="shared" si="36"/>
        <v>0</v>
      </c>
      <c r="P25" t="str">
        <f t="shared" si="36"/>
        <v>.</v>
      </c>
      <c r="Q25">
        <f t="shared" si="36"/>
        <v>1</v>
      </c>
      <c r="R25">
        <f t="shared" si="36"/>
        <v>0</v>
      </c>
      <c r="S25">
        <f t="shared" si="36"/>
        <v>0</v>
      </c>
      <c r="T25">
        <f t="shared" si="36"/>
        <v>0</v>
      </c>
      <c r="U25" t="str">
        <f t="shared" si="36"/>
        <v>.</v>
      </c>
      <c r="V25">
        <f t="shared" si="36"/>
        <v>1</v>
      </c>
      <c r="W25">
        <f t="shared" si="36"/>
        <v>0</v>
      </c>
      <c r="X25">
        <f t="shared" si="36"/>
        <v>0</v>
      </c>
      <c r="Y25">
        <f t="shared" si="36"/>
        <v>0</v>
      </c>
      <c r="AA25" s="1"/>
      <c r="AB25" s="1" t="s">
        <v>45</v>
      </c>
      <c r="AC25" s="1" t="s">
        <v>54</v>
      </c>
      <c r="AD25">
        <f>C11</f>
        <v>-14200</v>
      </c>
      <c r="AF25" s="9"/>
    </row>
    <row r="26" spans="4:32">
      <c r="E26" s="1" t="str">
        <f>E33</f>
        <v>-------</v>
      </c>
      <c r="F26" t="str">
        <f>F19</f>
        <v>------</v>
      </c>
      <c r="G26" t="str">
        <f>G19</f>
        <v>--</v>
      </c>
      <c r="H26" t="str">
        <f t="shared" ref="H26:Y26" si="37">H19</f>
        <v>--</v>
      </c>
      <c r="I26" t="str">
        <f t="shared" si="37"/>
        <v>--</v>
      </c>
      <c r="J26" t="str">
        <f t="shared" si="37"/>
        <v>--</v>
      </c>
      <c r="K26" t="str">
        <f t="shared" si="37"/>
        <v>--</v>
      </c>
      <c r="L26" t="str">
        <f t="shared" si="37"/>
        <v>--</v>
      </c>
      <c r="M26" t="str">
        <f t="shared" si="37"/>
        <v>--</v>
      </c>
      <c r="N26" t="str">
        <f t="shared" si="37"/>
        <v>--</v>
      </c>
      <c r="O26" t="str">
        <f t="shared" si="37"/>
        <v>--</v>
      </c>
      <c r="P26" t="str">
        <f t="shared" si="37"/>
        <v>--</v>
      </c>
      <c r="Q26" t="str">
        <f t="shared" si="37"/>
        <v>--</v>
      </c>
      <c r="R26" t="str">
        <f t="shared" si="37"/>
        <v>--</v>
      </c>
      <c r="S26" t="str">
        <f t="shared" si="37"/>
        <v>--</v>
      </c>
      <c r="T26" t="str">
        <f t="shared" si="37"/>
        <v>--</v>
      </c>
      <c r="U26" t="str">
        <f t="shared" si="37"/>
        <v>--</v>
      </c>
      <c r="V26" t="str">
        <f t="shared" si="37"/>
        <v>--</v>
      </c>
      <c r="W26" t="str">
        <f t="shared" si="37"/>
        <v>--</v>
      </c>
      <c r="X26" t="str">
        <f t="shared" si="37"/>
        <v>--</v>
      </c>
      <c r="Y26" t="str">
        <f t="shared" si="37"/>
        <v>--</v>
      </c>
      <c r="AC26" t="str">
        <f>AC19</f>
        <v>----</v>
      </c>
      <c r="AD26" t="str">
        <f>AD19</f>
        <v>--------------</v>
      </c>
      <c r="AF26" s="9"/>
    </row>
    <row r="27" spans="4:32">
      <c r="G27">
        <f>MOD(G24+G25+INT((H24+H25+INT((I24+I25+INT((J24+J25+INT((L24+L25+INT((M24+M25+INT((N24+N25+INT((O24+O25+INT((Q24+Q25+INT((R24+R25+INT((S24+S25+INT((T24+T25+INT((V24+V25+INT((W24+W25+INT((X24+X25+INT((Y24+Y25)/2))/2))/2))/2))/2))/2))/2))/2))/2))/2))/2))/2))/2))/2))/2),2)</f>
        <v>1</v>
      </c>
      <c r="H27">
        <f>MOD(H24+H25+INT((I24+I25+INT((J24+J25+INT((L24+L25+INT((M24+M25+INT((N24+N25+INT((O24+O25+INT((Q24+Q25+INT((R24+R25+INT((S24+S25+INT((T24+T25+INT((V24+V25+INT((W24+W25+INT((X24+X25+INT((Y24+Y25)/2))/2))/2))/2))/2))/2))/2))/2))/2))/2))/2))/2))/2))/2),2)</f>
        <v>1</v>
      </c>
      <c r="I27">
        <f>MOD(I24+I25+INT((J24+J25+INT((L24+L25+INT((M24+M25+INT((N24+N25+INT((O24+O25+INT((Q24+Q25+INT((R24+R25+INT((S24+S25+INT((T24+T25+INT((V24+V25+INT((W24+W25+INT((X24+X25+INT((Y24+Y25)/2))/2))/2))/2))/2))/2))/2))/2))/2))/2))/2))/2))/2),2)</f>
        <v>1</v>
      </c>
      <c r="J27">
        <f>MOD(J24+J25+INT((L24+L25+INT((M24+M25+INT((N24+N25+INT((O24+O25+INT((Q24+Q25+INT((R24+R25+INT((S24+S25+INT((T24+T25+INT((V24+V25+INT((W24+W25+INT((X24+X25+INT((Y24+Y25)/2))/2))/2))/2))/2))/2))/2))/2))/2))/2))/2))/2),2)</f>
        <v>0</v>
      </c>
      <c r="K27" t="s">
        <v>42</v>
      </c>
      <c r="L27">
        <f>MOD(L24+L25+INT((M24+M25+INT((N24+N25+INT((O24+O25+INT((Q24+Q25+INT((R24+R25+INT((S24+S25+INT((T24+T25+INT((V24+V25+INT((W24+W25+INT((X24+X25+INT((Y24+Y25)/2))/2))/2))/2))/2))/2))/2))/2))/2))/2))/2),2)</f>
        <v>0</v>
      </c>
      <c r="M27">
        <f>MOD(M24+M25+INT((N24+N25+INT((O24+O25+INT((Q24+Q25+INT((R24+R25+INT((S24+S25+INT((T24+T25+INT((V24+V25+INT((W24+W25+INT((X24+X25+INT((Y24+Y25)/2))/2))/2))/2))/2))/2))/2))/2))/2))/2),2)</f>
        <v>0</v>
      </c>
      <c r="N27">
        <f>MOD(N24+N25+INT((O24+O25+INT((Q24+Q25+INT((R24+R25+INT((S24+S25+INT((T24+T25+INT((V24+V25+INT((W24+W25+INT((X24+X25+INT((Y24+Y25)/2))/2))/2))/2))/2))/2))/2))/2))/2),2)</f>
        <v>0</v>
      </c>
      <c r="O27">
        <f>MOD(O24+O25+INT((Q24+Q25+INT((R24+R25+INT((S24+S25+INT((T24+T25+INT((V24+V25+INT((W24+W25+INT((X24+X25+INT((Y24+Y25)/2))/2))/2))/2))/2))/2))/2))/2),2)</f>
        <v>1</v>
      </c>
      <c r="P27" t="s">
        <v>42</v>
      </c>
      <c r="Q27">
        <f>MOD(Q24+Q25+INT((R24+R25+INT((S24+S25+INT((T24+T25+INT((V24+V25+INT((W24+W25+INT((X24+X25+INT((Y24+Y25)/2))/2))/2))/2))/2))/2))/2),2)</f>
        <v>1</v>
      </c>
      <c r="R27">
        <f>MOD(R24+R25+INT((S24+S25+INT((T24+T25+INT((V24+V25+INT((W24+W25+INT((X24+X25+INT((Y24+Y25)/2))/2))/2))/2))/2))/2),2)</f>
        <v>1</v>
      </c>
      <c r="S27">
        <f>MOD(S24+S25+INT((T24+T25+INT((V24+V25+INT((W24+W25+INT((X24+X25+INT((Y24+Y25)/2))/2))/2))/2))/2),2)</f>
        <v>1</v>
      </c>
      <c r="T27">
        <f>MOD(T24+T25+INT((V24+V25+INT((W24+W25+INT((X24+X25+INT((Y24+Y25)/2))/2))/2))/2),2)</f>
        <v>1</v>
      </c>
      <c r="U27" t="s">
        <v>42</v>
      </c>
      <c r="V27">
        <f>MOD(V24+V25+INT((W24+W25+INT((X24+X25+INT((Y24+Y25)/2))/2))/2),2)</f>
        <v>1</v>
      </c>
      <c r="W27">
        <f>MOD(W24+W25+INT((X24+X25+INT((Y24+Y25)/2))/2),2)</f>
        <v>1</v>
      </c>
      <c r="X27">
        <f>MOD(X24+X25+INT((Y24+Y25)/2),2)</f>
        <v>1</v>
      </c>
      <c r="Y27">
        <f>MOD(SUM(Y24, Y25), 2)</f>
        <v>0</v>
      </c>
      <c r="Z27" s="6" t="s">
        <v>67</v>
      </c>
      <c r="AA27" s="5">
        <f>IF(G27=1,(G27*32768+H27*16384+I27*8192+J27*4096+L27*2048+M27*1024+N27*512+O27*256+Q27*128+R27*64+S27*32+T27*16+V27*8+W27*4+X27*2+Y27*1)-65536,G27*32768+H27*16384+I27*8192+J27*4096+L27*2048+M27*1024+N27*512+O27*256+Q27*128+R27*64+S27*32+T27*16+V27*8+W27*4+X27*2+Y27*1)</f>
        <v>-7682</v>
      </c>
      <c r="AD27">
        <f>SUM(AD24:AD25)</f>
        <v>-7682</v>
      </c>
      <c r="AF27" s="9"/>
    </row>
    <row r="28" spans="4:32">
      <c r="G28" t="s">
        <v>52</v>
      </c>
    </row>
    <row r="29" spans="4:32">
      <c r="G29" s="7" t="s">
        <v>46</v>
      </c>
      <c r="H29" s="7"/>
      <c r="I29" s="7"/>
      <c r="J29">
        <f>IF(AND(G24=1,G25=1),1,IF(AND(G24=0,G25=0),0,IF(AND(OR(G24=1,G25=1),G27=0),1,0)))</f>
        <v>0</v>
      </c>
      <c r="L29" s="7" t="s">
        <v>47</v>
      </c>
      <c r="M29" s="7"/>
      <c r="N29" s="7"/>
      <c r="O29">
        <f>IF(MOD(SUM(Q27,R27,S27,T27,V27,W27,X27,Y27),2)=0,1,0)</f>
        <v>0</v>
      </c>
      <c r="Q29" s="7" t="s">
        <v>48</v>
      </c>
      <c r="R29" s="7"/>
      <c r="S29" s="7"/>
      <c r="T29">
        <f>MOD(0+0+INT((V24+V25+INT((W24+W25+INT((X24+X25+INT((Y24+Y25)/2))/2))/2))/2),2)</f>
        <v>0</v>
      </c>
      <c r="V29" s="7" t="s">
        <v>49</v>
      </c>
      <c r="W29" s="7"/>
      <c r="X29" s="7"/>
      <c r="Y29">
        <f>IF(SUM(G27,H27,I27,J27,L27,M27,N27,O27,Q27,R27,S27,T27,V27,W27,X27,Y27)=0,1,0)</f>
        <v>0</v>
      </c>
      <c r="Z29" s="4" t="s">
        <v>50</v>
      </c>
      <c r="AA29" s="5">
        <f>G27</f>
        <v>1</v>
      </c>
      <c r="AB29" t="s">
        <v>51</v>
      </c>
      <c r="AC29" s="5">
        <f>IF(AND(G24=G25,G24&lt;&gt;G27),1,0)</f>
        <v>0</v>
      </c>
    </row>
    <row r="31" spans="4:32">
      <c r="E31" t="s">
        <v>55</v>
      </c>
      <c r="G31">
        <f>G5</f>
        <v>0</v>
      </c>
      <c r="H31">
        <f>H5</f>
        <v>0</v>
      </c>
      <c r="I31">
        <f t="shared" ref="I31:Y31" si="38">I5</f>
        <v>1</v>
      </c>
      <c r="J31">
        <f t="shared" si="38"/>
        <v>1</v>
      </c>
      <c r="K31" t="str">
        <f t="shared" si="38"/>
        <v>.</v>
      </c>
      <c r="L31">
        <f t="shared" si="38"/>
        <v>0</v>
      </c>
      <c r="M31">
        <f t="shared" si="38"/>
        <v>1</v>
      </c>
      <c r="N31">
        <f t="shared" si="38"/>
        <v>1</v>
      </c>
      <c r="O31">
        <f t="shared" si="38"/>
        <v>1</v>
      </c>
      <c r="P31" t="str">
        <f t="shared" si="38"/>
        <v>.</v>
      </c>
      <c r="Q31">
        <f t="shared" si="38"/>
        <v>0</v>
      </c>
      <c r="R31">
        <f t="shared" si="38"/>
        <v>1</v>
      </c>
      <c r="S31">
        <f t="shared" si="38"/>
        <v>1</v>
      </c>
      <c r="T31">
        <f t="shared" si="38"/>
        <v>1</v>
      </c>
      <c r="U31" t="str">
        <f t="shared" si="38"/>
        <v>.</v>
      </c>
      <c r="V31">
        <f t="shared" si="38"/>
        <v>1</v>
      </c>
      <c r="W31">
        <f t="shared" si="38"/>
        <v>0</v>
      </c>
      <c r="X31">
        <f t="shared" si="38"/>
        <v>0</v>
      </c>
      <c r="Y31">
        <f t="shared" si="38"/>
        <v>0</v>
      </c>
      <c r="AC31" t="s">
        <v>44</v>
      </c>
      <c r="AD31">
        <f>C5</f>
        <v>14200</v>
      </c>
      <c r="AF31" s="9" t="str">
        <f>"При сложении "&amp;IF(AD31&lt;0,"отрицательного","положительного")&amp;" и "&amp;IF(AD32&lt;0,"отрицательного","положительного")&amp;" чисел получилось "&amp;IF(AA34&lt;0,"отрицательное","положительное")&amp;". "&amp;IF(AA34=AD34,"Результат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эквивалентов, так как мы вышли за пределы ОДЗ.")</f>
        <v>При сложении положительного и положительного чисел получилось отрицательное. Результат операции неверный и не совпадает с суммой десятичных эквивалентов, так как мы вышли за пределы ОДЗ.</v>
      </c>
    </row>
    <row r="32" spans="4:32">
      <c r="D32" s="1" t="s">
        <v>45</v>
      </c>
      <c r="E32" t="s">
        <v>56</v>
      </c>
      <c r="G32">
        <f>G6</f>
        <v>0</v>
      </c>
      <c r="H32">
        <f>H6</f>
        <v>1</v>
      </c>
      <c r="I32">
        <f t="shared" ref="I32:Y32" si="39">I6</f>
        <v>0</v>
      </c>
      <c r="J32">
        <f t="shared" si="39"/>
        <v>1</v>
      </c>
      <c r="K32" t="str">
        <f t="shared" si="39"/>
        <v>.</v>
      </c>
      <c r="L32">
        <f t="shared" si="39"/>
        <v>0</v>
      </c>
      <c r="M32">
        <f t="shared" si="39"/>
        <v>0</v>
      </c>
      <c r="N32">
        <f t="shared" si="39"/>
        <v>0</v>
      </c>
      <c r="O32">
        <f t="shared" si="39"/>
        <v>0</v>
      </c>
      <c r="P32" t="str">
        <f t="shared" si="39"/>
        <v>.</v>
      </c>
      <c r="Q32">
        <f t="shared" si="39"/>
        <v>1</v>
      </c>
      <c r="R32">
        <f t="shared" si="39"/>
        <v>1</v>
      </c>
      <c r="S32">
        <f t="shared" si="39"/>
        <v>1</v>
      </c>
      <c r="T32">
        <f t="shared" si="39"/>
        <v>0</v>
      </c>
      <c r="U32" t="str">
        <f t="shared" si="39"/>
        <v>.</v>
      </c>
      <c r="V32">
        <f t="shared" si="39"/>
        <v>1</v>
      </c>
      <c r="W32">
        <f t="shared" si="39"/>
        <v>1</v>
      </c>
      <c r="X32">
        <f t="shared" si="39"/>
        <v>1</v>
      </c>
      <c r="Y32">
        <f t="shared" si="39"/>
        <v>0</v>
      </c>
      <c r="AA32" s="1"/>
      <c r="AB32" s="1" t="s">
        <v>45</v>
      </c>
      <c r="AC32" s="1" t="s">
        <v>61</v>
      </c>
      <c r="AD32">
        <f>C6</f>
        <v>20718</v>
      </c>
      <c r="AF32" s="9"/>
    </row>
    <row r="33" spans="4:32">
      <c r="E33" t="str">
        <f>E40</f>
        <v>-------</v>
      </c>
      <c r="F33" t="str">
        <f>F26</f>
        <v>------</v>
      </c>
      <c r="G33" s="1" t="s">
        <v>53</v>
      </c>
      <c r="H33" s="1" t="s">
        <v>53</v>
      </c>
      <c r="I33" s="1" t="s">
        <v>53</v>
      </c>
      <c r="J33" s="1" t="s">
        <v>53</v>
      </c>
      <c r="K33" s="1" t="s">
        <v>53</v>
      </c>
      <c r="L33" s="1" t="s">
        <v>53</v>
      </c>
      <c r="M33" s="1" t="s">
        <v>53</v>
      </c>
      <c r="N33" s="1" t="s">
        <v>53</v>
      </c>
      <c r="O33" s="1" t="s">
        <v>53</v>
      </c>
      <c r="P33" s="1" t="s">
        <v>53</v>
      </c>
      <c r="Q33" s="1" t="s">
        <v>53</v>
      </c>
      <c r="R33" s="1" t="s">
        <v>53</v>
      </c>
      <c r="S33" s="1" t="s">
        <v>53</v>
      </c>
      <c r="T33" s="1" t="s">
        <v>53</v>
      </c>
      <c r="U33" s="1" t="s">
        <v>53</v>
      </c>
      <c r="V33" s="1" t="s">
        <v>53</v>
      </c>
      <c r="W33" s="1" t="s">
        <v>53</v>
      </c>
      <c r="X33" s="1" t="s">
        <v>53</v>
      </c>
      <c r="Y33" s="1" t="s">
        <v>53</v>
      </c>
      <c r="AC33" t="str">
        <f>AC19</f>
        <v>----</v>
      </c>
      <c r="AD33" t="str">
        <f>AD19</f>
        <v>--------------</v>
      </c>
      <c r="AF33" s="9"/>
    </row>
    <row r="34" spans="4:32">
      <c r="G34">
        <f>MOD(G31+G32+INT((H31+H32+INT((I31+I32+INT((J31+J32+INT((L31+L32+INT((M31+M32+INT((N31+N32+INT((O31+O32+INT((Q31+Q32+INT((R31+R32+INT((S31+S32+INT((T31+T32+INT((V31+V32+INT((W31+W32+INT((X31+X32+INT((Y31+Y32)/2))/2))/2))/2))/2))/2))/2))/2))/2))/2))/2))/2))/2))/2))/2),2)</f>
        <v>1</v>
      </c>
      <c r="H34">
        <f>MOD(H31+H32+INT((I31+I32+INT((J31+J32+INT((L31+L32+INT((M31+M32+INT((N31+N32+INT((O31+O32+INT((Q31+Q32+INT((R31+R32+INT((S31+S32+INT((T31+T32+INT((V31+V32+INT((W31+W32+INT((X31+X32+INT((Y31+Y32)/2))/2))/2))/2))/2))/2))/2))/2))/2))/2))/2))/2))/2))/2),2)</f>
        <v>0</v>
      </c>
      <c r="I34">
        <f>MOD(I31+I32+INT((J31+J32+INT((L31+L32+INT((M31+M32+INT((N31+N32+INT((O31+O32+INT((Q31+Q32+INT((R31+R32+INT((S31+S32+INT((T31+T32+INT((V31+V32+INT((W31+W32+INT((X31+X32+INT((Y31+Y32)/2))/2))/2))/2))/2))/2))/2))/2))/2))/2))/2))/2))/2),2)</f>
        <v>0</v>
      </c>
      <c r="J34">
        <f>MOD(J31+J32+INT((L31+L32+INT((M31+M32+INT((N31+N32+INT((O31+O32+INT((Q31+Q32+INT((R31+R32+INT((S31+S32+INT((T31+T32+INT((V31+V32+INT((W31+W32+INT((X31+X32+INT((Y31+Y32)/2))/2))/2))/2))/2))/2))/2))/2))/2))/2))/2))/2),2)</f>
        <v>0</v>
      </c>
      <c r="K34" t="s">
        <v>42</v>
      </c>
      <c r="L34">
        <f>MOD(L31+L32+INT((M31+M32+INT((N31+N32+INT((O31+O32+INT((Q31+Q32+INT((R31+R32+INT((S31+S32+INT((T31+T32+INT((V31+V32+INT((W31+W32+INT((X31+X32+INT((Y31+Y32)/2))/2))/2))/2))/2))/2))/2))/2))/2))/2))/2),2)</f>
        <v>1</v>
      </c>
      <c r="M34">
        <f>MOD(M31+M32+INT((N31+N32+INT((O31+O32+INT((Q31+Q32+INT((R31+R32+INT((S31+S32+INT((T31+T32+INT((V31+V32+INT((W31+W32+INT((X31+X32+INT((Y31+Y32)/2))/2))/2))/2))/2))/2))/2))/2))/2))/2),2)</f>
        <v>0</v>
      </c>
      <c r="N34">
        <f>MOD(N31+N32+INT((O31+O32+INT((Q31+Q32+INT((R31+R32+INT((S31+S32+INT((T31+T32+INT((V31+V32+INT((W31+W32+INT((X31+X32+INT((Y31+Y32)/2))/2))/2))/2))/2))/2))/2))/2))/2),2)</f>
        <v>0</v>
      </c>
      <c r="O34">
        <f>MOD(O31+O32+INT((Q31+Q32+INT((R31+R32+INT((S31+S32+INT((T31+T32+INT((V31+V32+INT((W31+W32+INT((X31+X32+INT((Y31+Y32)/2))/2))/2))/2))/2))/2))/2))/2),2)</f>
        <v>0</v>
      </c>
      <c r="P34" t="s">
        <v>42</v>
      </c>
      <c r="Q34">
        <f>MOD(Q31+Q32+INT((R31+R32+INT((S31+S32+INT((T31+T32+INT((V31+V32+INT((W31+W32+INT((X31+X32+INT((Y31+Y32)/2))/2))/2))/2))/2))/2))/2),2)</f>
        <v>0</v>
      </c>
      <c r="R34">
        <f>MOD(R31+R32+INT((S31+S32+INT((T31+T32+INT((V31+V32+INT((W31+W32+INT((X31+X32+INT((Y31+Y32)/2))/2))/2))/2))/2))/2),2)</f>
        <v>1</v>
      </c>
      <c r="S34">
        <f>MOD(S31+S32+INT((T31+T32+INT((V31+V32+INT((W31+W32+INT((X31+X32+INT((Y31+Y32)/2))/2))/2))/2))/2),2)</f>
        <v>1</v>
      </c>
      <c r="T34">
        <f>MOD(T31+T32+INT((V31+V32+INT((W31+W32+INT((X31+X32+INT((Y31+Y32)/2))/2))/2))/2),2)</f>
        <v>0</v>
      </c>
      <c r="U34" t="s">
        <v>42</v>
      </c>
      <c r="V34">
        <f>MOD(V31+V32+INT((W31+W32+INT((X31+X32+INT((Y31+Y32)/2))/2))/2),2)</f>
        <v>0</v>
      </c>
      <c r="W34">
        <f>MOD(W31+W32+INT((X31+X32+INT((Y31+Y32)/2))/2),2)</f>
        <v>1</v>
      </c>
      <c r="X34">
        <f>MOD(X31+X32+INT((Y31+Y32)/2),2)</f>
        <v>1</v>
      </c>
      <c r="Y34">
        <f>MOD(Y52+Y53,2)</f>
        <v>0</v>
      </c>
      <c r="Z34" s="6" t="s">
        <v>67</v>
      </c>
      <c r="AA34" s="5">
        <f>IF(G34=1,(G34*32768+H34*16384+I34*8192+J34*4096+L34*2048+M34*1024+N34*512+O34*256+Q34*128+R34*64+S34*32+T34*16+V34*8+W34*4+X34*2+Y34*1)-65536,G34*32768+H34*16384+I34*8192+J34*4096+L34*2048+M34*1024+N34*512+O34*256+Q34*128+R34*64+S34*32+T34*16+V34*8+W34*4+X34*2+Y34*1)</f>
        <v>-30618</v>
      </c>
      <c r="AD34">
        <f>SUM(AD31:AD32)</f>
        <v>34918</v>
      </c>
      <c r="AF34" s="9"/>
    </row>
    <row r="35" spans="4:32">
      <c r="G35" s="3"/>
      <c r="H35" s="3"/>
      <c r="I35" s="3"/>
      <c r="L35" s="3"/>
      <c r="M35" s="3"/>
      <c r="N35" s="3"/>
      <c r="Q35" s="3"/>
      <c r="R35" s="3"/>
      <c r="S35" s="3"/>
      <c r="V35" s="3"/>
      <c r="W35" s="3"/>
      <c r="X35" s="3"/>
    </row>
    <row r="36" spans="4:32">
      <c r="G36" s="7" t="s">
        <v>46</v>
      </c>
      <c r="H36" s="7"/>
      <c r="I36" s="7"/>
      <c r="J36">
        <f>IF(AND(G31=1,G32=1),1,IF(AND(G31=0,G32=0),0,IF(AND(OR(G31=1,G32=1),G34=0),1,0)))</f>
        <v>0</v>
      </c>
      <c r="L36" s="7" t="s">
        <v>47</v>
      </c>
      <c r="M36" s="7"/>
      <c r="N36" s="7"/>
      <c r="O36">
        <f>IF(MOD(SUM(Q34,R34,S34,T34,V34,W34,X34,Y34),2)=0,1,0)</f>
        <v>1</v>
      </c>
      <c r="Q36" s="7" t="s">
        <v>48</v>
      </c>
      <c r="R36" s="7"/>
      <c r="S36" s="7"/>
      <c r="T36">
        <f>MOD(0+0+INT((V31+V32+INT((W31+W32+INT((X31+X32+INT((Y31+Y32)/2))/2))/2))/2),2)</f>
        <v>1</v>
      </c>
      <c r="V36" s="7" t="s">
        <v>49</v>
      </c>
      <c r="W36" s="7"/>
      <c r="X36" s="7"/>
      <c r="Y36">
        <f>IF(SUM(G34,H34,I34,J34,L34,M34,N34,O34,Q34,R34,S34,T34,V34,W34,X34,Y34)=0,1,0)</f>
        <v>0</v>
      </c>
      <c r="Z36" s="4" t="s">
        <v>50</v>
      </c>
      <c r="AA36" s="5">
        <f>G34</f>
        <v>1</v>
      </c>
      <c r="AB36" t="s">
        <v>51</v>
      </c>
      <c r="AC36" s="5">
        <f>IF(AND(G31=G32,G31&lt;&gt;G34),1,0)</f>
        <v>1</v>
      </c>
    </row>
    <row r="38" spans="4:32">
      <c r="E38" t="s">
        <v>55</v>
      </c>
      <c r="G38">
        <f>G5</f>
        <v>0</v>
      </c>
      <c r="H38">
        <f>H5</f>
        <v>0</v>
      </c>
      <c r="I38">
        <f t="shared" ref="I38:Y38" si="40">I5</f>
        <v>1</v>
      </c>
      <c r="J38">
        <f t="shared" si="40"/>
        <v>1</v>
      </c>
      <c r="K38" t="str">
        <f t="shared" si="40"/>
        <v>.</v>
      </c>
      <c r="L38">
        <f t="shared" si="40"/>
        <v>0</v>
      </c>
      <c r="M38">
        <f t="shared" si="40"/>
        <v>1</v>
      </c>
      <c r="N38">
        <f t="shared" si="40"/>
        <v>1</v>
      </c>
      <c r="O38">
        <f t="shared" si="40"/>
        <v>1</v>
      </c>
      <c r="P38" t="str">
        <f t="shared" si="40"/>
        <v>.</v>
      </c>
      <c r="Q38">
        <f t="shared" si="40"/>
        <v>0</v>
      </c>
      <c r="R38">
        <f t="shared" si="40"/>
        <v>1</v>
      </c>
      <c r="S38">
        <f t="shared" si="40"/>
        <v>1</v>
      </c>
      <c r="T38">
        <f t="shared" si="40"/>
        <v>1</v>
      </c>
      <c r="U38" t="str">
        <f t="shared" si="40"/>
        <v>.</v>
      </c>
      <c r="V38">
        <f t="shared" si="40"/>
        <v>1</v>
      </c>
      <c r="W38">
        <f t="shared" si="40"/>
        <v>0</v>
      </c>
      <c r="X38">
        <f t="shared" si="40"/>
        <v>0</v>
      </c>
      <c r="Y38">
        <f t="shared" si="40"/>
        <v>0</v>
      </c>
      <c r="AC38" t="s">
        <v>44</v>
      </c>
      <c r="AD38">
        <f>C5</f>
        <v>14200</v>
      </c>
      <c r="AF38" s="9" t="str">
        <f>"При сложении "&amp;IF(AD38&lt;0,"отрицательного","положительного")&amp;" и "&amp;IF(AD39&lt;0,"отрицательного","положительного")&amp;" чисел получилось "&amp;IF(AA41&lt;0,"отрицательное","положительное")&amp;". "&amp;IF(AA41=AD41,"Результат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эквивалентов, так как мы вышли за пределы ОДЗ.")</f>
        <v>При сложении положительного и отрицательного чисел получилось положительное. Результат выполнения операций верный и корректный, совпадает с суммой десятичных эквивалентов</v>
      </c>
    </row>
    <row r="39" spans="4:32">
      <c r="D39" s="1" t="s">
        <v>45</v>
      </c>
      <c r="E39" t="s">
        <v>57</v>
      </c>
      <c r="G39">
        <f>G10</f>
        <v>1</v>
      </c>
      <c r="H39">
        <f>H10</f>
        <v>1</v>
      </c>
      <c r="I39">
        <f t="shared" ref="I39:Y39" si="41">I10</f>
        <v>1</v>
      </c>
      <c r="J39">
        <f t="shared" si="41"/>
        <v>0</v>
      </c>
      <c r="K39" t="str">
        <f t="shared" si="41"/>
        <v>.</v>
      </c>
      <c r="L39">
        <f t="shared" si="41"/>
        <v>0</v>
      </c>
      <c r="M39">
        <f t="shared" si="41"/>
        <v>1</v>
      </c>
      <c r="N39">
        <f t="shared" si="41"/>
        <v>1</v>
      </c>
      <c r="O39">
        <f t="shared" si="41"/>
        <v>0</v>
      </c>
      <c r="P39" t="str">
        <f t="shared" si="41"/>
        <v>.</v>
      </c>
      <c r="Q39">
        <f t="shared" si="41"/>
        <v>1</v>
      </c>
      <c r="R39">
        <f t="shared" si="41"/>
        <v>0</v>
      </c>
      <c r="S39">
        <f t="shared" si="41"/>
        <v>0</v>
      </c>
      <c r="T39">
        <f t="shared" si="41"/>
        <v>0</v>
      </c>
      <c r="U39" t="str">
        <f t="shared" si="41"/>
        <v>.</v>
      </c>
      <c r="V39">
        <f t="shared" si="41"/>
        <v>1</v>
      </c>
      <c r="W39">
        <f t="shared" si="41"/>
        <v>0</v>
      </c>
      <c r="X39">
        <f t="shared" si="41"/>
        <v>1</v>
      </c>
      <c r="Y39">
        <f t="shared" si="41"/>
        <v>0</v>
      </c>
      <c r="AA39" s="1"/>
      <c r="AB39" s="1" t="s">
        <v>45</v>
      </c>
      <c r="AC39" s="1" t="s">
        <v>62</v>
      </c>
      <c r="AD39">
        <f>C10</f>
        <v>-6518</v>
      </c>
      <c r="AF39" s="9"/>
    </row>
    <row r="40" spans="4:32">
      <c r="E40" t="str">
        <f>E47</f>
        <v>-------</v>
      </c>
      <c r="F40" t="str">
        <f>F33</f>
        <v>------</v>
      </c>
      <c r="G40" s="1" t="s">
        <v>53</v>
      </c>
      <c r="H40" s="1" t="s">
        <v>53</v>
      </c>
      <c r="I40" s="1" t="s">
        <v>53</v>
      </c>
      <c r="J40" s="1" t="s">
        <v>53</v>
      </c>
      <c r="K40" s="1" t="s">
        <v>53</v>
      </c>
      <c r="L40" s="1" t="s">
        <v>53</v>
      </c>
      <c r="M40" s="1" t="s">
        <v>53</v>
      </c>
      <c r="N40" s="1" t="s">
        <v>53</v>
      </c>
      <c r="O40" s="1" t="s">
        <v>53</v>
      </c>
      <c r="P40" s="1" t="s">
        <v>53</v>
      </c>
      <c r="Q40" s="1" t="s">
        <v>53</v>
      </c>
      <c r="R40" s="1" t="s">
        <v>53</v>
      </c>
      <c r="S40" s="1" t="s">
        <v>53</v>
      </c>
      <c r="T40" s="1" t="s">
        <v>53</v>
      </c>
      <c r="U40" s="1" t="s">
        <v>53</v>
      </c>
      <c r="V40" s="1" t="s">
        <v>53</v>
      </c>
      <c r="W40" s="1" t="s">
        <v>53</v>
      </c>
      <c r="X40" s="1" t="s">
        <v>53</v>
      </c>
      <c r="Y40" s="1" t="s">
        <v>53</v>
      </c>
      <c r="AC40" t="str">
        <f>AC19</f>
        <v>----</v>
      </c>
      <c r="AD40" t="str">
        <f>AD19</f>
        <v>--------------</v>
      </c>
      <c r="AF40" s="9"/>
    </row>
    <row r="41" spans="4:32">
      <c r="G41">
        <f>MOD(G38+G39+INT((H38+H39+INT((I38+I39+INT((J38+J39+INT((L38+L39+INT((M38+M39+INT((N38+N39+INT((O38+O39+INT((Q38+Q39+INT((R38+R39+INT((S38+S39+INT((T38+T39+INT((V38+V39+INT((W38+W39+INT((X38+X39+INT((Y38+Y39)/2))/2))/2))/2))/2))/2))/2))/2))/2))/2))/2))/2))/2))/2))/2),2)</f>
        <v>0</v>
      </c>
      <c r="H41">
        <f>MOD(H38+H39+INT((I38+I39+INT((J38+J39+INT((L38+L39+INT((M38+M39+INT((N38+N39+INT((O38+O39+INT((Q38+Q39+INT((R38+R39+INT((S38+S39+INT((T38+T39+INT((V38+V39+INT((W38+W39+INT((X38+X39+INT((Y38+Y39)/2))/2))/2))/2))/2))/2))/2))/2))/2))/2))/2))/2))/2))/2),2)</f>
        <v>0</v>
      </c>
      <c r="I41">
        <f>MOD(I38+I39+INT((J38+J39+INT((L38+L39+INT((M38+M39+INT((N38+N39+INT((O38+O39+INT((Q38+Q39+INT((R38+R39+INT((S38+S39+INT((T38+T39+INT((V38+V39+INT((W38+W39+INT((X38+X39+INT((Y38+Y39)/2))/2))/2))/2))/2))/2))/2))/2))/2))/2))/2))/2))/2),2)</f>
        <v>0</v>
      </c>
      <c r="J41">
        <f>MOD(J38+J39+INT((L38+L39+INT((M38+M39+INT((N38+N39+INT((O38+O39+INT((Q38+Q39+INT((R38+R39+INT((S38+S39+INT((T38+T39+INT((V38+V39+INT((W38+W39+INT((X38+X39+INT((Y38+Y39)/2))/2))/2))/2))/2))/2))/2))/2))/2))/2))/2))/2),2)</f>
        <v>1</v>
      </c>
      <c r="K41" t="s">
        <v>42</v>
      </c>
      <c r="L41">
        <f>MOD(L38+L39+INT((M38+M39+INT((N38+N39+INT((O38+O39+INT((Q38+Q39+INT((R38+R39+INT((S38+S39+INT((T38+T39+INT((V38+V39+INT((W38+W39+INT((X38+X39+INT((Y38+Y39)/2))/2))/2))/2))/2))/2))/2))/2))/2))/2))/2),2)</f>
        <v>1</v>
      </c>
      <c r="M41">
        <f>MOD(M38+M39+INT((N38+N39+INT((O38+O39+INT((Q38+Q39+INT((R38+R39+INT((S38+S39+INT((T38+T39+INT((V38+V39+INT((W38+W39+INT((X38+X39+INT((Y38+Y39)/2))/2))/2))/2))/2))/2))/2))/2))/2))/2),2)</f>
        <v>1</v>
      </c>
      <c r="N41">
        <f>MOD(N38+N39+INT((O38+O39+INT((Q38+Q39+INT((R38+R39+INT((S38+S39+INT((T38+T39+INT((V38+V39+INT((W38+W39+INT((X38+X39+INT((Y38+Y39)/2))/2))/2))/2))/2))/2))/2))/2))/2),2)</f>
        <v>1</v>
      </c>
      <c r="O41">
        <f>MOD(O38+O39+INT((Q38+Q39+INT((R38+R39+INT((S38+S39+INT((T38+T39+INT((V38+V39+INT((W38+W39+INT((X38+X39+INT((Y38+Y39)/2))/2))/2))/2))/2))/2))/2))/2),2)</f>
        <v>0</v>
      </c>
      <c r="P41" t="s">
        <v>42</v>
      </c>
      <c r="Q41">
        <f>MOD(Q38+Q39+INT((R38+R39+INT((S38+S39+INT((T38+T39+INT((V38+V39+INT((W38+W39+INT((X38+X39+INT((Y38+Y39)/2))/2))/2))/2))/2))/2))/2),2)</f>
        <v>0</v>
      </c>
      <c r="R41">
        <f>MOD(R38+R39+INT((S38+S39+INT((T38+T39+INT((V38+V39+INT((W38+W39+INT((X38+X39+INT((Y38+Y39)/2))/2))/2))/2))/2))/2),2)</f>
        <v>0</v>
      </c>
      <c r="S41">
        <f>MOD(S38+S39+INT((T38+T39+INT((V38+V39+INT((W38+W39+INT((X38+X39+INT((Y38+Y39)/2))/2))/2))/2))/2),2)</f>
        <v>0</v>
      </c>
      <c r="T41">
        <f>MOD(T38+T39+INT((V38+V39+INT((W38+W39+INT((X38+X39+INT((Y38+Y39)/2))/2))/2))/2),2)</f>
        <v>0</v>
      </c>
      <c r="U41" t="s">
        <v>42</v>
      </c>
      <c r="V41">
        <f>MOD(V38+V39+INT((W38+W39+INT((X38+X39+INT((Y38+Y39)/2))/2))/2),2)</f>
        <v>0</v>
      </c>
      <c r="W41">
        <f>MOD(W38+W39+INT((X38+X39+INT((Y38+Y39)/2))/2),2)</f>
        <v>0</v>
      </c>
      <c r="X41">
        <f>MOD(X38+X39+INT((Y38+Y39)/2),2)</f>
        <v>1</v>
      </c>
      <c r="Y41">
        <f>MOD(Y38+Y39,2)</f>
        <v>0</v>
      </c>
      <c r="Z41" s="6" t="s">
        <v>67</v>
      </c>
      <c r="AA41" s="5">
        <f>IF(G41=1,(G41*32768+H41*16384+I41*8192+J41*4096+L41*2048+M41*1024+N41*512+O41*256+Q41*128+R41*64+S41*32+T41*16+V41*8+W41*4+X41*2+Y41*1)-65536,G41*32768+H41*16384+I41*8192+J41*4096+L41*2048+M41*1024+N41*512+O41*256+Q41*128+R41*64+S41*32+T41*16+V41*8+W41*4+X41*2+Y41*1)</f>
        <v>7682</v>
      </c>
      <c r="AD41">
        <f>SUM(AD38:AD39)</f>
        <v>7682</v>
      </c>
      <c r="AF41" s="9"/>
    </row>
    <row r="43" spans="4:32">
      <c r="G43" s="7" t="s">
        <v>46</v>
      </c>
      <c r="H43" s="7"/>
      <c r="I43" s="7"/>
      <c r="J43">
        <f>IF(AND(G38=1,G39=1),1,IF(AND(G38=0,G39=0),0,IF(AND(OR(G38=1,G39=1),G41=0),1,0)))</f>
        <v>1</v>
      </c>
      <c r="L43" s="7" t="s">
        <v>47</v>
      </c>
      <c r="M43" s="7"/>
      <c r="N43" s="7"/>
      <c r="O43">
        <f>IF(MOD(SUM(Q41,R41,S41,T41,V41,W41,X41,Y41),2)=0,1,0)</f>
        <v>0</v>
      </c>
      <c r="Q43" s="7" t="s">
        <v>48</v>
      </c>
      <c r="R43" s="7"/>
      <c r="S43" s="7"/>
      <c r="T43">
        <f>MOD(0+0+INT((V38+V39+INT((W38+W39+INT((X38+X39+INT((Y38+Y39)/2))/2))/2))/2),2)</f>
        <v>1</v>
      </c>
      <c r="V43" s="7" t="s">
        <v>49</v>
      </c>
      <c r="W43" s="7"/>
      <c r="X43" s="7"/>
      <c r="Y43">
        <f>IF(SUM(G41,H41,I41,J41,L41,M41,N41,O41,Q41,R41,S41,T41,V41,W41,X41,Y41)=0,1,0)</f>
        <v>0</v>
      </c>
      <c r="Z43" s="4" t="s">
        <v>50</v>
      </c>
      <c r="AA43" s="5">
        <f>G41</f>
        <v>0</v>
      </c>
      <c r="AB43" t="s">
        <v>51</v>
      </c>
      <c r="AC43" s="5">
        <f>IF(AND(G38=G39,G38&lt;&gt;G41),1,0)</f>
        <v>0</v>
      </c>
    </row>
    <row r="45" spans="4:32">
      <c r="E45" t="s">
        <v>57</v>
      </c>
      <c r="G45">
        <f>G10</f>
        <v>1</v>
      </c>
      <c r="H45">
        <f>H10</f>
        <v>1</v>
      </c>
      <c r="I45">
        <f t="shared" ref="I45:Y45" si="42">I10</f>
        <v>1</v>
      </c>
      <c r="J45">
        <f t="shared" si="42"/>
        <v>0</v>
      </c>
      <c r="K45" t="str">
        <f t="shared" si="42"/>
        <v>.</v>
      </c>
      <c r="L45">
        <f t="shared" si="42"/>
        <v>0</v>
      </c>
      <c r="M45">
        <f t="shared" si="42"/>
        <v>1</v>
      </c>
      <c r="N45">
        <f t="shared" si="42"/>
        <v>1</v>
      </c>
      <c r="O45">
        <f t="shared" si="42"/>
        <v>0</v>
      </c>
      <c r="P45" t="str">
        <f t="shared" si="42"/>
        <v>.</v>
      </c>
      <c r="Q45">
        <f t="shared" si="42"/>
        <v>1</v>
      </c>
      <c r="R45">
        <f t="shared" si="42"/>
        <v>0</v>
      </c>
      <c r="S45">
        <f t="shared" si="42"/>
        <v>0</v>
      </c>
      <c r="T45">
        <f t="shared" si="42"/>
        <v>0</v>
      </c>
      <c r="U45" t="str">
        <f t="shared" si="42"/>
        <v>.</v>
      </c>
      <c r="V45">
        <f t="shared" si="42"/>
        <v>1</v>
      </c>
      <c r="W45">
        <f t="shared" si="42"/>
        <v>0</v>
      </c>
      <c r="X45">
        <f t="shared" si="42"/>
        <v>1</v>
      </c>
      <c r="Y45">
        <f t="shared" si="42"/>
        <v>0</v>
      </c>
      <c r="AC45" t="s">
        <v>62</v>
      </c>
      <c r="AD45">
        <f>C10</f>
        <v>-6518</v>
      </c>
      <c r="AF45" s="9" t="str">
        <f>"При сложении "&amp;IF(AD45&lt;0,"отрицательного","положительного")&amp;" и "&amp;IF(AD46&lt;0,"отрицательного","положительного")&amp;" чисел получилось "&amp;IF(AA48&lt;0,"отрицательное","положительное")&amp;". "&amp;IF(AA48=AD48,"Результат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эквивалентов, так как мы вышли за пределы ОДЗ.")</f>
        <v>При сложении отрицательного и отрицательного чисел получилось отрицательное. Результат выполнения операций верный и корректный, совпадает с суммой десятичных эквивалентов</v>
      </c>
    </row>
    <row r="46" spans="4:32">
      <c r="D46" s="1" t="s">
        <v>45</v>
      </c>
      <c r="E46" t="s">
        <v>58</v>
      </c>
      <c r="G46">
        <f>G11</f>
        <v>1</v>
      </c>
      <c r="H46">
        <f>H11</f>
        <v>1</v>
      </c>
      <c r="I46">
        <f t="shared" ref="I46:Y46" si="43">I11</f>
        <v>0</v>
      </c>
      <c r="J46">
        <f t="shared" si="43"/>
        <v>0</v>
      </c>
      <c r="K46" t="str">
        <f t="shared" si="43"/>
        <v>.</v>
      </c>
      <c r="L46">
        <f t="shared" si="43"/>
        <v>1</v>
      </c>
      <c r="M46">
        <f t="shared" si="43"/>
        <v>0</v>
      </c>
      <c r="N46">
        <f t="shared" si="43"/>
        <v>0</v>
      </c>
      <c r="O46">
        <f t="shared" si="43"/>
        <v>0</v>
      </c>
      <c r="P46" t="str">
        <f t="shared" si="43"/>
        <v>.</v>
      </c>
      <c r="Q46">
        <f t="shared" si="43"/>
        <v>1</v>
      </c>
      <c r="R46">
        <f t="shared" si="43"/>
        <v>0</v>
      </c>
      <c r="S46">
        <f t="shared" si="43"/>
        <v>0</v>
      </c>
      <c r="T46">
        <f t="shared" si="43"/>
        <v>0</v>
      </c>
      <c r="U46" t="str">
        <f t="shared" si="43"/>
        <v>.</v>
      </c>
      <c r="V46">
        <f t="shared" si="43"/>
        <v>1</v>
      </c>
      <c r="W46">
        <f t="shared" si="43"/>
        <v>0</v>
      </c>
      <c r="X46">
        <f t="shared" si="43"/>
        <v>0</v>
      </c>
      <c r="Y46">
        <f t="shared" si="43"/>
        <v>0</v>
      </c>
      <c r="AA46" s="1"/>
      <c r="AB46" s="1" t="s">
        <v>45</v>
      </c>
      <c r="AC46" s="1" t="s">
        <v>54</v>
      </c>
      <c r="AD46">
        <f>C11</f>
        <v>-14200</v>
      </c>
      <c r="AF46" s="9"/>
    </row>
    <row r="47" spans="4:32">
      <c r="E47" t="str">
        <f>E54</f>
        <v>-------</v>
      </c>
      <c r="F47" t="str">
        <f>F40</f>
        <v>------</v>
      </c>
      <c r="G47" s="1" t="s">
        <v>53</v>
      </c>
      <c r="H47" s="1" t="s">
        <v>53</v>
      </c>
      <c r="I47" s="1" t="s">
        <v>53</v>
      </c>
      <c r="J47" s="1" t="s">
        <v>53</v>
      </c>
      <c r="K47" s="1" t="s">
        <v>53</v>
      </c>
      <c r="L47" s="1" t="s">
        <v>53</v>
      </c>
      <c r="M47" s="1" t="s">
        <v>53</v>
      </c>
      <c r="N47" s="1" t="s">
        <v>53</v>
      </c>
      <c r="O47" s="1" t="s">
        <v>53</v>
      </c>
      <c r="P47" s="1" t="s">
        <v>53</v>
      </c>
      <c r="Q47" s="1" t="s">
        <v>53</v>
      </c>
      <c r="R47" s="1" t="s">
        <v>53</v>
      </c>
      <c r="S47" s="1" t="s">
        <v>53</v>
      </c>
      <c r="T47" s="1" t="s">
        <v>53</v>
      </c>
      <c r="U47" s="1" t="s">
        <v>53</v>
      </c>
      <c r="V47" s="1" t="s">
        <v>53</v>
      </c>
      <c r="W47" s="1" t="s">
        <v>53</v>
      </c>
      <c r="X47" s="1" t="s">
        <v>53</v>
      </c>
      <c r="Y47" s="1" t="s">
        <v>53</v>
      </c>
      <c r="AC47" t="str">
        <f>AC19</f>
        <v>----</v>
      </c>
      <c r="AD47" t="str">
        <f>AD19</f>
        <v>--------------</v>
      </c>
      <c r="AF47" s="9"/>
    </row>
    <row r="48" spans="4:32">
      <c r="G48">
        <f>MOD(G45+G46+INT((H45+H46+INT((I45+I46+INT((J45+J46+INT((L45+L46+INT((M45+M46+INT((N45+N46+INT((O45+O46+INT((Q45+Q46+INT((R45+R46+INT((S45+S46+INT((T45+T46+INT((V45+V46+INT((W45+W46+INT((X45+X46+INT((Y45+Y46)/2))/2))/2))/2))/2))/2))/2))/2))/2))/2))/2))/2))/2))/2))/2),2)</f>
        <v>1</v>
      </c>
      <c r="H48">
        <f>MOD(H45+H46+INT((I45+I46+INT((J45+J46+INT((L45+L46+INT((M45+M46+INT((N45+N46+INT((O45+O46+INT((Q45+Q46+INT((R45+R46+INT((S45+S46+INT((T45+T46+INT((V45+V46+INT((W45+W46+INT((X45+X46+INT((Y45+Y46)/2))/2))/2))/2))/2))/2))/2))/2))/2))/2))/2))/2))/2))/2),2)</f>
        <v>0</v>
      </c>
      <c r="I48">
        <f>MOD(I45+I46+INT((J45+J46+INT((L45+L46+INT((M45+M46+INT((N45+N46+INT((O45+O46+INT((Q45+Q46+INT((R45+R46+INT((S45+S46+INT((T45+T46+INT((V45+V46+INT((W45+W46+INT((X45+X46+INT((Y45+Y46)/2))/2))/2))/2))/2))/2))/2))/2))/2))/2))/2))/2))/2),2)</f>
        <v>1</v>
      </c>
      <c r="J48">
        <f>MOD(J45+J46+INT((L45+L46+INT((M45+M46+INT((N45+N46+INT((O45+O46+INT((Q45+Q46+INT((R45+R46+INT((S45+S46+INT((T45+T46+INT((V45+V46+INT((W45+W46+INT((X45+X46+INT((Y45+Y46)/2))/2))/2))/2))/2))/2))/2))/2))/2))/2))/2))/2),2)</f>
        <v>0</v>
      </c>
      <c r="K48" t="s">
        <v>42</v>
      </c>
      <c r="L48">
        <f>MOD(L45+L46+INT((M45+M46+INT((N45+N46+INT((O45+O46+INT((Q45+Q46+INT((R45+R46+INT((S45+S46+INT((T45+T46+INT((V45+V46+INT((W45+W46+INT((X45+X46+INT((Y45+Y46)/2))/2))/2))/2))/2))/2))/2))/2))/2))/2))/2),2)</f>
        <v>1</v>
      </c>
      <c r="M48">
        <f>MOD(M45+M46+INT((N45+N46+INT((O45+O46+INT((Q45+Q46+INT((R45+R46+INT((S45+S46+INT((T45+T46+INT((V45+V46+INT((W45+W46+INT((X45+X46+INT((Y45+Y46)/2))/2))/2))/2))/2))/2))/2))/2))/2))/2),2)</f>
        <v>1</v>
      </c>
      <c r="N48">
        <f>MOD(N45+N46+INT((O45+O46+INT((Q45+Q46+INT((R45+R46+INT((S45+S46+INT((T45+T46+INT((V45+V46+INT((W45+W46+INT((X45+X46+INT((Y45+Y46)/2))/2))/2))/2))/2))/2))/2))/2))/2),2)</f>
        <v>1</v>
      </c>
      <c r="O48">
        <f>MOD(O45+O46+INT((Q45+Q46+INT((R45+R46+INT((S45+S46+INT((T45+T46+INT((V45+V46+INT((W45+W46+INT((X45+X46+INT((Y45+Y46)/2))/2))/2))/2))/2))/2))/2))/2),2)</f>
        <v>1</v>
      </c>
      <c r="P48" t="s">
        <v>42</v>
      </c>
      <c r="Q48">
        <f>MOD(Q45+Q46+INT((R45+R46+INT((S45+S46+INT((T45+T46+INT((V45+V46+INT((W45+W46+INT((X45+X46+INT((Y45+Y46)/2))/2))/2))/2))/2))/2))/2),2)</f>
        <v>0</v>
      </c>
      <c r="R48">
        <f>MOD(R45+R46+INT((S45+S46+INT((T45+T46+INT((V45+V46+INT((W45+W46+INT((X45+X46+INT((Y45+Y46)/2))/2))/2))/2))/2))/2),2)</f>
        <v>0</v>
      </c>
      <c r="S48">
        <f>MOD(S45+S46+INT((T45+T46+INT((V45+V46+INT((W45+W46+INT((X45+X46+INT((Y45+Y46)/2))/2))/2))/2))/2),2)</f>
        <v>0</v>
      </c>
      <c r="T48">
        <f>MOD(T45+T46+INT((V45+V46+INT((W45+W46+INT((X45+X46+INT((Y45+Y46)/2))/2))/2))/2),2)</f>
        <v>1</v>
      </c>
      <c r="U48" t="s">
        <v>42</v>
      </c>
      <c r="V48">
        <f>MOD(V45+V46+INT((W45+W46+INT((X45+X46+INT((Y45+Y46)/2))/2))/2),2)</f>
        <v>0</v>
      </c>
      <c r="W48">
        <f>MOD(W45+W46+INT((X45+X46+INT((Y45+Y46)/2))/2),2)</f>
        <v>0</v>
      </c>
      <c r="X48">
        <f>MOD(X45+X46+INT((Y45+Y46)/2),2)</f>
        <v>1</v>
      </c>
      <c r="Y48">
        <f>MOD(Y45+Y46,2)</f>
        <v>0</v>
      </c>
      <c r="Z48" s="6" t="s">
        <v>67</v>
      </c>
      <c r="AA48" s="5">
        <f>IF(G48=1,(G48*32768+H48*16384+I48*8192+J48*4096+L48*2048+M48*1024+N48*512+O48*256+Q48*128+R48*64+S48*32+T48*16+V48*8+W48*4+X48*2+Y48*1)-65536,G48*32768+H48*16384+I48*8192+J48*4096+L48*2048+M48*1024+N48*512+O48*256+Q48*128+R48*64+S48*32+T48*16+V48*8+W48*4+X48*2+Y48*1)</f>
        <v>-20718</v>
      </c>
      <c r="AD48">
        <f>SUM(AD45:AD46)</f>
        <v>-20718</v>
      </c>
      <c r="AF48" s="9"/>
    </row>
    <row r="50" spans="4:32">
      <c r="G50" s="7" t="s">
        <v>46</v>
      </c>
      <c r="H50" s="7"/>
      <c r="I50" s="7"/>
      <c r="J50">
        <f>IF(AND(G45=1,G46=1),1,IF(AND(G45=0,G46=0),0,IF(AND(OR(G45=1,G46=1),G48=0),1,0)))</f>
        <v>1</v>
      </c>
      <c r="L50" s="7" t="s">
        <v>47</v>
      </c>
      <c r="M50" s="7"/>
      <c r="N50" s="7"/>
      <c r="O50">
        <f>IF(MOD(SUM(Q48,R48,S48,T48,V48,W48,X48,Y48),2)=0,1,0)</f>
        <v>1</v>
      </c>
      <c r="Q50" s="7" t="s">
        <v>48</v>
      </c>
      <c r="R50" s="7"/>
      <c r="S50" s="7"/>
      <c r="T50">
        <f>MOD(0+0+INT((V45+V46+INT((W45+W46+INT((X45+X46+INT((Y45+Y46)/2))/2))/2))/2),2)</f>
        <v>1</v>
      </c>
      <c r="V50" s="7" t="s">
        <v>49</v>
      </c>
      <c r="W50" s="7"/>
      <c r="X50" s="7"/>
      <c r="Y50">
        <f>IF(SUM(G48,H48,I48,J48,L48,M48,N48,O48,Q48,R48,S48,T48,V48,W48,X48,Y48)=0,1,0)</f>
        <v>0</v>
      </c>
      <c r="Z50" s="4" t="s">
        <v>50</v>
      </c>
      <c r="AA50" s="5">
        <f>G48</f>
        <v>1</v>
      </c>
      <c r="AB50" t="s">
        <v>51</v>
      </c>
      <c r="AC50" s="5">
        <f>IF(AND(G45=G46,G45&lt;&gt;G48),1,0)</f>
        <v>0</v>
      </c>
    </row>
    <row r="52" spans="4:32">
      <c r="E52" t="s">
        <v>58</v>
      </c>
      <c r="G52">
        <f>G11</f>
        <v>1</v>
      </c>
      <c r="H52">
        <f>H11</f>
        <v>1</v>
      </c>
      <c r="I52">
        <f t="shared" ref="I52:Y52" si="44">I11</f>
        <v>0</v>
      </c>
      <c r="J52">
        <f t="shared" si="44"/>
        <v>0</v>
      </c>
      <c r="K52" t="str">
        <f t="shared" si="44"/>
        <v>.</v>
      </c>
      <c r="L52">
        <f t="shared" si="44"/>
        <v>1</v>
      </c>
      <c r="M52">
        <f t="shared" si="44"/>
        <v>0</v>
      </c>
      <c r="N52">
        <f t="shared" si="44"/>
        <v>0</v>
      </c>
      <c r="O52">
        <f t="shared" si="44"/>
        <v>0</v>
      </c>
      <c r="P52" t="str">
        <f t="shared" si="44"/>
        <v>.</v>
      </c>
      <c r="Q52">
        <f t="shared" si="44"/>
        <v>1</v>
      </c>
      <c r="R52">
        <f t="shared" si="44"/>
        <v>0</v>
      </c>
      <c r="S52">
        <f t="shared" si="44"/>
        <v>0</v>
      </c>
      <c r="T52">
        <f t="shared" si="44"/>
        <v>0</v>
      </c>
      <c r="U52" t="str">
        <f t="shared" si="44"/>
        <v>.</v>
      </c>
      <c r="V52">
        <f t="shared" si="44"/>
        <v>1</v>
      </c>
      <c r="W52">
        <f t="shared" si="44"/>
        <v>0</v>
      </c>
      <c r="X52">
        <f t="shared" si="44"/>
        <v>0</v>
      </c>
      <c r="Y52">
        <f t="shared" si="44"/>
        <v>0</v>
      </c>
      <c r="AC52" t="s">
        <v>54</v>
      </c>
      <c r="AD52">
        <f>C11</f>
        <v>-14200</v>
      </c>
      <c r="AF52" s="9" t="str">
        <f>"При сложении "&amp;IF(AD52&lt;0,"отрицательного","положительного")&amp;" и "&amp;IF(AD53&lt;0,"отрицательного","положительного")&amp;" чисел получилось "&amp;IF(AA55&lt;0,"отрицательное","положительное")&amp;". "&amp;IF(AA55=AD55,"Результат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эквивалентов, так как мы вышли за пределы ОДЗ.")</f>
        <v>При сложении отрицательного и отрицательного чисел получилось положительное. Результат операции неверный и не совпадает с суммой десятичных эквивалентов, так как мы вышли за пределы ОДЗ.</v>
      </c>
    </row>
    <row r="53" spans="4:32">
      <c r="D53" s="1" t="s">
        <v>45</v>
      </c>
      <c r="E53" t="s">
        <v>59</v>
      </c>
      <c r="G53">
        <f>G12</f>
        <v>1</v>
      </c>
      <c r="H53">
        <f>H12</f>
        <v>0</v>
      </c>
      <c r="I53">
        <f t="shared" ref="I53:Y53" si="45">I12</f>
        <v>1</v>
      </c>
      <c r="J53">
        <f t="shared" si="45"/>
        <v>0</v>
      </c>
      <c r="K53" t="str">
        <f t="shared" si="45"/>
        <v>.</v>
      </c>
      <c r="L53">
        <f t="shared" si="45"/>
        <v>1</v>
      </c>
      <c r="M53">
        <f t="shared" si="45"/>
        <v>1</v>
      </c>
      <c r="N53">
        <f t="shared" si="45"/>
        <v>1</v>
      </c>
      <c r="O53">
        <f t="shared" si="45"/>
        <v>1</v>
      </c>
      <c r="P53" t="str">
        <f t="shared" si="45"/>
        <v>.</v>
      </c>
      <c r="Q53">
        <f t="shared" si="45"/>
        <v>0</v>
      </c>
      <c r="R53">
        <f t="shared" si="45"/>
        <v>0</v>
      </c>
      <c r="S53">
        <f t="shared" si="45"/>
        <v>0</v>
      </c>
      <c r="T53">
        <f t="shared" si="45"/>
        <v>1</v>
      </c>
      <c r="U53" t="str">
        <f t="shared" si="45"/>
        <v>.</v>
      </c>
      <c r="V53">
        <f t="shared" si="45"/>
        <v>0</v>
      </c>
      <c r="W53">
        <f t="shared" si="45"/>
        <v>0</v>
      </c>
      <c r="X53">
        <f t="shared" si="45"/>
        <v>1</v>
      </c>
      <c r="Y53">
        <f t="shared" si="45"/>
        <v>0</v>
      </c>
      <c r="AA53" s="1"/>
      <c r="AB53" s="1" t="s">
        <v>45</v>
      </c>
      <c r="AC53" s="1" t="s">
        <v>63</v>
      </c>
      <c r="AD53">
        <f>C12</f>
        <v>-20718</v>
      </c>
      <c r="AF53" s="9"/>
    </row>
    <row r="54" spans="4:32">
      <c r="E54" s="1" t="s">
        <v>68</v>
      </c>
      <c r="F54" t="str">
        <f>F47</f>
        <v>------</v>
      </c>
      <c r="G54" s="1" t="s">
        <v>53</v>
      </c>
      <c r="H54" s="1" t="s">
        <v>53</v>
      </c>
      <c r="I54" s="1" t="s">
        <v>53</v>
      </c>
      <c r="J54" s="1" t="s">
        <v>53</v>
      </c>
      <c r="K54" s="1" t="s">
        <v>53</v>
      </c>
      <c r="L54" s="1" t="s">
        <v>53</v>
      </c>
      <c r="M54" s="1" t="s">
        <v>53</v>
      </c>
      <c r="N54" s="1" t="s">
        <v>53</v>
      </c>
      <c r="O54" s="1" t="s">
        <v>53</v>
      </c>
      <c r="P54" s="1" t="s">
        <v>53</v>
      </c>
      <c r="Q54" s="1" t="s">
        <v>53</v>
      </c>
      <c r="R54" s="1" t="s">
        <v>53</v>
      </c>
      <c r="S54" s="1" t="s">
        <v>53</v>
      </c>
      <c r="T54" s="1" t="s">
        <v>53</v>
      </c>
      <c r="U54" s="1" t="s">
        <v>53</v>
      </c>
      <c r="V54" s="1" t="s">
        <v>53</v>
      </c>
      <c r="W54" s="1" t="s">
        <v>53</v>
      </c>
      <c r="X54" s="1" t="s">
        <v>53</v>
      </c>
      <c r="Y54" s="1" t="s">
        <v>53</v>
      </c>
      <c r="AC54" t="str">
        <f>AC19</f>
        <v>----</v>
      </c>
      <c r="AD54" t="str">
        <f>AD19</f>
        <v>--------------</v>
      </c>
      <c r="AF54" s="9"/>
    </row>
    <row r="55" spans="4:32">
      <c r="G55">
        <f>MOD(G52+G53+INT((H52+H53+INT((I52+I53+INT((J52+J53+INT((L52+L53+INT((M52+M53+INT((N52+N53+INT((O52+O53+INT((Q52+Q53+INT((R52+R53+INT((S52+S53+INT((T52+T53+INT((V52+V53+INT((W52+W53+INT((X52+X53+INT((Y52+Y53)/2))/2))/2))/2))/2))/2))/2))/2))/2))/2))/2))/2))/2))/2))/2),2)</f>
        <v>0</v>
      </c>
      <c r="H55">
        <f>MOD(H52+H53+INT((I52+I53+INT((J52+J53+INT((L52+L53+INT((M52+M53+INT((N52+N53+INT((O52+O53+INT((Q52+Q53+INT((R52+R53+INT((S52+S53+INT((T52+T53+INT((V52+V53+INT((W52+W53+INT((X52+X53+INT((Y52+Y53)/2))/2))/2))/2))/2))/2))/2))/2))/2))/2))/2))/2))/2))/2),2)</f>
        <v>1</v>
      </c>
      <c r="I55">
        <f>MOD(I52+I53+INT((J52+J53+INT((L52+L53+INT((M52+M53+INT((N52+N53+INT((O52+O53+INT((Q52+Q53+INT((R52+R53+INT((S52+S53+INT((T52+T53+INT((V52+V53+INT((W52+W53+INT((X52+X53+INT((Y52+Y53)/2))/2))/2))/2))/2))/2))/2))/2))/2))/2))/2))/2))/2),2)</f>
        <v>1</v>
      </c>
      <c r="J55">
        <f>MOD(J52+J53+INT((L52+L53+INT((M52+M53+INT((N52+N53+INT((O52+O53+INT((Q52+Q53+INT((R52+R53+INT((S52+S53+INT((T52+T53+INT((V52+V53+INT((W52+W53+INT((X52+X53+INT((Y52+Y53)/2))/2))/2))/2))/2))/2))/2))/2))/2))/2))/2))/2),2)</f>
        <v>1</v>
      </c>
      <c r="K55" t="s">
        <v>42</v>
      </c>
      <c r="L55">
        <f>MOD(L52+L53+INT((M52+M53+INT((N52+N53+INT((O52+O53+INT((Q52+Q53+INT((R52+R53+INT((S52+S53+INT((T52+T53+INT((V52+V53+INT((W52+W53+INT((X52+X53+INT((Y52+Y53)/2))/2))/2))/2))/2))/2))/2))/2))/2))/2))/2),2)</f>
        <v>0</v>
      </c>
      <c r="M55">
        <f>MOD(M52+M53+INT((N52+N53+INT((O52+O53+INT((Q52+Q53+INT((R52+R53+INT((S52+S53+INT((T52+T53+INT((V52+V53+INT((W52+W53+INT((X52+X53+INT((Y52+Y53)/2))/2))/2))/2))/2))/2))/2))/2))/2))/2),2)</f>
        <v>1</v>
      </c>
      <c r="N55">
        <f>MOD(N52+N53+INT((O52+O53+INT((Q52+Q53+INT((R52+R53+INT((S52+S53+INT((T52+T53+INT((V52+V53+INT((W52+W53+INT((X52+X53+INT((Y52+Y53)/2))/2))/2))/2))/2))/2))/2))/2))/2),2)</f>
        <v>1</v>
      </c>
      <c r="O55">
        <f>MOD(O52+O53+INT((Q52+Q53+INT((R52+R53+INT((S52+S53+INT((T52+T53+INT((V52+V53+INT((W52+W53+INT((X52+X53+INT((Y52+Y53)/2))/2))/2))/2))/2))/2))/2))/2),2)</f>
        <v>1</v>
      </c>
      <c r="P55" t="s">
        <v>42</v>
      </c>
      <c r="Q55">
        <f>MOD(Q52+Q53+INT((R52+R53+INT((S52+S53+INT((T52+T53+INT((V52+V53+INT((W52+W53+INT((X52+X53+INT((Y52+Y53)/2))/2))/2))/2))/2))/2))/2),2)</f>
        <v>1</v>
      </c>
      <c r="R55">
        <f>MOD(R52+R53+INT((S52+S53+INT((T52+T53+INT((V52+V53+INT((W52+W53+INT((X52+X53+INT((Y52+Y53)/2))/2))/2))/2))/2))/2),2)</f>
        <v>0</v>
      </c>
      <c r="S55">
        <f>MOD(S52+S53+INT((T52+T53+INT((V52+V53+INT((W52+W53+INT((X52+X53+INT((Y52+Y53)/2))/2))/2))/2))/2),2)</f>
        <v>0</v>
      </c>
      <c r="T55">
        <f>MOD(T52+T53+INT((V52+V53+INT((W52+W53+INT((X52+X53+INT((Y52+Y53)/2))/2))/2))/2),2)</f>
        <v>1</v>
      </c>
      <c r="U55" t="s">
        <v>42</v>
      </c>
      <c r="V55">
        <f>MOD(V52+V53+INT((W52+W53+INT((X52+X53+INT((Y52+Y53)/2))/2))/2),2)</f>
        <v>1</v>
      </c>
      <c r="W55">
        <f>MOD(W52+W53+INT((X52+X53+INT((Y52+Y53)/2))/2),2)</f>
        <v>0</v>
      </c>
      <c r="X55">
        <f>MOD(X52+X53+INT((Y52+Y53)/2),2)</f>
        <v>1</v>
      </c>
      <c r="Y55">
        <f>MOD(Y52+Y53,2)</f>
        <v>0</v>
      </c>
      <c r="Z55" s="6" t="s">
        <v>67</v>
      </c>
      <c r="AA55" s="5">
        <f>IF(G55=1,(G55*32768+H55*16384+I55*8192+J55*4096+L55*2048+M55*1024+N55*512+O55*256+Q55*128+R55*64+S55*32+T55*16+V55*8+W55*4+X55*2+Y55*1)-65536,G55*32768+H55*16384+I55*8192+J55*4096+L55*2048+M55*1024+N55*512+O55*256+Q55*128+R55*64+S55*32+T55*16+V55*8+W55*4+X55*2+Y55*1)</f>
        <v>30618</v>
      </c>
      <c r="AD55">
        <f>SUM(AD52:AD53)</f>
        <v>-34918</v>
      </c>
      <c r="AF55" s="9"/>
    </row>
    <row r="57" spans="4:32">
      <c r="G57" s="7" t="s">
        <v>46</v>
      </c>
      <c r="H57" s="7"/>
      <c r="I57" s="7"/>
      <c r="J57">
        <f>IF(AND(G52=1,G53=1),1,IF(AND(G52=0,G53=0),0,IF(AND(OR(G52=1,G53=1),G55=0),1,0)))</f>
        <v>1</v>
      </c>
      <c r="L57" s="7" t="s">
        <v>47</v>
      </c>
      <c r="M57" s="7"/>
      <c r="N57" s="7"/>
      <c r="O57">
        <f>IF(MOD(SUM(Q55,R55,S55,T55,V55,W55,X55,Y55),2)=0,1,0)</f>
        <v>1</v>
      </c>
      <c r="Q57" s="7" t="s">
        <v>48</v>
      </c>
      <c r="R57" s="7"/>
      <c r="S57" s="7"/>
      <c r="T57">
        <f>MOD(0+0+INT((V52+V53+INT((W52+W53+INT((X52+X53+INT((Y52+Y53)/2))/2))/2))/2),2)</f>
        <v>0</v>
      </c>
      <c r="V57" s="7" t="s">
        <v>49</v>
      </c>
      <c r="W57" s="7"/>
      <c r="X57" s="7"/>
      <c r="Y57">
        <f>IF(SUM(G55,H55,I55,J55,L55,M55,N55,O55,Q55,R55,S55,T55,V55,W55,X55,Y55)=0,1,0)</f>
        <v>0</v>
      </c>
      <c r="Z57" s="4" t="s">
        <v>50</v>
      </c>
      <c r="AA57" s="5">
        <f>G55</f>
        <v>0</v>
      </c>
      <c r="AB57" t="s">
        <v>51</v>
      </c>
      <c r="AC57" s="5">
        <f>IF(AND(G52=G53,G52&lt;&gt;G55),1,0)</f>
        <v>1</v>
      </c>
    </row>
    <row r="59" spans="4:32">
      <c r="E59" t="s">
        <v>60</v>
      </c>
      <c r="G59">
        <f>G14</f>
        <v>1</v>
      </c>
      <c r="H59">
        <f>H14</f>
        <v>1</v>
      </c>
      <c r="I59">
        <f t="shared" ref="I59:Y59" si="46">I14</f>
        <v>1</v>
      </c>
      <c r="J59">
        <f t="shared" si="46"/>
        <v>0</v>
      </c>
      <c r="K59" t="str">
        <f t="shared" si="46"/>
        <v>.</v>
      </c>
      <c r="L59">
        <f t="shared" si="46"/>
        <v>0</v>
      </c>
      <c r="M59">
        <f t="shared" si="46"/>
        <v>0</v>
      </c>
      <c r="N59">
        <f t="shared" si="46"/>
        <v>0</v>
      </c>
      <c r="O59">
        <f t="shared" si="46"/>
        <v>1</v>
      </c>
      <c r="P59" t="str">
        <f t="shared" si="46"/>
        <v>.</v>
      </c>
      <c r="Q59">
        <f t="shared" si="46"/>
        <v>1</v>
      </c>
      <c r="R59">
        <f t="shared" si="46"/>
        <v>1</v>
      </c>
      <c r="S59">
        <f t="shared" si="46"/>
        <v>1</v>
      </c>
      <c r="T59">
        <f t="shared" si="46"/>
        <v>1</v>
      </c>
      <c r="U59" t="str">
        <f t="shared" si="46"/>
        <v>.</v>
      </c>
      <c r="V59">
        <f t="shared" si="46"/>
        <v>1</v>
      </c>
      <c r="W59">
        <f t="shared" si="46"/>
        <v>1</v>
      </c>
      <c r="X59">
        <f t="shared" si="46"/>
        <v>1</v>
      </c>
      <c r="Y59">
        <f t="shared" si="46"/>
        <v>0</v>
      </c>
      <c r="AC59" t="s">
        <v>64</v>
      </c>
      <c r="AD59">
        <f>C14</f>
        <v>-7682</v>
      </c>
      <c r="AF59" s="9" t="str">
        <f>"При сложении "&amp;IF(AD59&lt;0,"отрицательного","положительного")&amp;" и "&amp;IF(AD60&lt;0,"отрицательного","положительного")&amp;" чисел получилось "&amp;IF(AA62&lt;0,"отрицательное","положительное")&amp;". "&amp;IF(AA62=AD62,"Результат выполнения операций верный и корректный, совпадает с суммой десятичных эквивалентов","Результат операции неверный и не совпадает с суммой десятичных эквивалентов, так как мы вышли за пределы ОДЗ.")</f>
        <v>При сложении отрицательного и положительного чисел получилось положительное. Результат выполнения операций верный и корректный, совпадает с суммой десятичных эквивалентов</v>
      </c>
    </row>
    <row r="60" spans="4:32">
      <c r="D60" s="1" t="s">
        <v>45</v>
      </c>
      <c r="E60" t="s">
        <v>56</v>
      </c>
      <c r="G60">
        <f>G6</f>
        <v>0</v>
      </c>
      <c r="H60">
        <f>H6</f>
        <v>1</v>
      </c>
      <c r="I60">
        <f t="shared" ref="I60:Y60" si="47">I6</f>
        <v>0</v>
      </c>
      <c r="J60">
        <f t="shared" si="47"/>
        <v>1</v>
      </c>
      <c r="K60" t="str">
        <f t="shared" si="47"/>
        <v>.</v>
      </c>
      <c r="L60">
        <f t="shared" si="47"/>
        <v>0</v>
      </c>
      <c r="M60">
        <f t="shared" si="47"/>
        <v>0</v>
      </c>
      <c r="N60">
        <f t="shared" si="47"/>
        <v>0</v>
      </c>
      <c r="O60">
        <f t="shared" si="47"/>
        <v>0</v>
      </c>
      <c r="P60" t="str">
        <f t="shared" si="47"/>
        <v>.</v>
      </c>
      <c r="Q60">
        <f t="shared" si="47"/>
        <v>1</v>
      </c>
      <c r="R60">
        <f t="shared" si="47"/>
        <v>1</v>
      </c>
      <c r="S60">
        <f t="shared" si="47"/>
        <v>1</v>
      </c>
      <c r="T60">
        <f t="shared" si="47"/>
        <v>0</v>
      </c>
      <c r="U60" t="str">
        <f t="shared" si="47"/>
        <v>.</v>
      </c>
      <c r="V60">
        <f t="shared" si="47"/>
        <v>1</v>
      </c>
      <c r="W60">
        <f t="shared" si="47"/>
        <v>1</v>
      </c>
      <c r="X60">
        <f t="shared" si="47"/>
        <v>1</v>
      </c>
      <c r="Y60">
        <f t="shared" si="47"/>
        <v>0</v>
      </c>
      <c r="AA60" s="1"/>
      <c r="AB60" s="1" t="s">
        <v>45</v>
      </c>
      <c r="AC60" s="1" t="s">
        <v>61</v>
      </c>
      <c r="AD60">
        <f>C6</f>
        <v>20718</v>
      </c>
      <c r="AF60" s="9"/>
    </row>
    <row r="61" spans="4:32">
      <c r="E61" t="str">
        <f>E54</f>
        <v>-------</v>
      </c>
      <c r="F61" t="str">
        <f>F54</f>
        <v>------</v>
      </c>
      <c r="G61" s="1" t="s">
        <v>53</v>
      </c>
      <c r="H61" s="1" t="s">
        <v>53</v>
      </c>
      <c r="I61" s="1" t="s">
        <v>53</v>
      </c>
      <c r="J61" s="1" t="s">
        <v>53</v>
      </c>
      <c r="K61" s="1" t="s">
        <v>53</v>
      </c>
      <c r="L61" s="1" t="s">
        <v>53</v>
      </c>
      <c r="M61" s="1" t="s">
        <v>53</v>
      </c>
      <c r="N61" s="1" t="s">
        <v>53</v>
      </c>
      <c r="O61" s="1" t="s">
        <v>53</v>
      </c>
      <c r="P61" s="1" t="s">
        <v>53</v>
      </c>
      <c r="Q61" s="1" t="s">
        <v>53</v>
      </c>
      <c r="R61" s="1" t="s">
        <v>53</v>
      </c>
      <c r="S61" s="1" t="s">
        <v>53</v>
      </c>
      <c r="T61" s="1" t="s">
        <v>53</v>
      </c>
      <c r="U61" s="1" t="s">
        <v>53</v>
      </c>
      <c r="V61" s="1" t="s">
        <v>53</v>
      </c>
      <c r="W61" s="1" t="s">
        <v>53</v>
      </c>
      <c r="X61" s="1" t="s">
        <v>53</v>
      </c>
      <c r="Y61" s="1" t="s">
        <v>53</v>
      </c>
      <c r="AB61" s="1"/>
      <c r="AC61" t="str">
        <f>AC19</f>
        <v>----</v>
      </c>
      <c r="AD61" t="str">
        <f>AD19</f>
        <v>--------------</v>
      </c>
      <c r="AF61" s="9"/>
    </row>
    <row r="62" spans="4:32">
      <c r="G62">
        <f>MOD(G59+G60+INT((H59+H60+INT((I59+I60+INT((J59+J60+INT((L59+L60+INT((M59+M60+INT((N59+N60+INT((O59+O60+INT((Q59+Q60+INT((R59+R60+INT((S59+S60+INT((T59+T60+INT((V59+V60+INT((W59+W60+INT((X59+X60+INT((Y59+Y60)/2))/2))/2))/2))/2))/2))/2))/2))/2))/2))/2))/2))/2))/2))/2),2)</f>
        <v>0</v>
      </c>
      <c r="H62">
        <f>MOD(H59+H60+INT((I59+I60+INT((J59+J60+INT((L59+L60+INT((M59+M60+INT((N59+N60+INT((O59+O60+INT((Q59+Q60+INT((R59+R60+INT((S59+S60+INT((T59+T60+INT((V59+V60+INT((W59+W60+INT((X59+X60+INT((Y59+Y60)/2))/2))/2))/2))/2))/2))/2))/2))/2))/2))/2))/2))/2))/2),2)</f>
        <v>0</v>
      </c>
      <c r="I62">
        <f>MOD(I59+I60+INT((J59+J60+INT((L59+L60+INT((M59+M60+INT((N59+N60+INT((O59+O60+INT((Q59+Q60+INT((R59+R60+INT((S59+S60+INT((T59+T60+INT((V59+V60+INT((W59+W60+INT((X59+X60+INT((Y59+Y60)/2))/2))/2))/2))/2))/2))/2))/2))/2))/2))/2))/2))/2),2)</f>
        <v>1</v>
      </c>
      <c r="J62">
        <f>MOD(J59+J60+INT((L59+L60+INT((M59+M60+INT((N59+N60+INT((O59+O60+INT((Q59+Q60+INT((R59+R60+INT((S59+S60+INT((T59+T60+INT((V59+V60+INT((W59+W60+INT((X59+X60+INT((Y59+Y60)/2))/2))/2))/2))/2))/2))/2))/2))/2))/2))/2))/2),2)</f>
        <v>1</v>
      </c>
      <c r="K62" t="s">
        <v>42</v>
      </c>
      <c r="L62">
        <f>MOD(L59+L60+INT((M59+M60+INT((N59+N60+INT((O59+O60+INT((Q59+Q60+INT((R59+R60+INT((S59+S60+INT((T59+T60+INT((V59+V60+INT((W59+W60+INT((X59+X60+INT((Y59+Y60)/2))/2))/2))/2))/2))/2))/2))/2))/2))/2))/2),2)</f>
        <v>0</v>
      </c>
      <c r="M62">
        <f>MOD(M59+M60+INT((N59+N60+INT((O59+O60+INT((Q59+Q60+INT((R59+R60+INT((S59+S60+INT((T59+T60+INT((V59+V60+INT((W59+W60+INT((X59+X60+INT((Y59+Y60)/2))/2))/2))/2))/2))/2))/2))/2))/2))/2),2)</f>
        <v>0</v>
      </c>
      <c r="N62">
        <f>MOD(N59+N60+INT((O59+O60+INT((Q59+Q60+INT((R59+R60+INT((S59+S60+INT((T59+T60+INT((V59+V60+INT((W59+W60+INT((X59+X60+INT((Y59+Y60)/2))/2))/2))/2))/2))/2))/2))/2))/2),2)</f>
        <v>1</v>
      </c>
      <c r="O62">
        <f>MOD(O59+O60+INT((Q59+Q60+INT((R59+R60+INT((S59+S60+INT((T59+T60+INT((V59+V60+INT((W59+W60+INT((X59+X60+INT((Y59+Y60)/2))/2))/2))/2))/2))/2))/2))/2),2)</f>
        <v>0</v>
      </c>
      <c r="P62" t="s">
        <v>42</v>
      </c>
      <c r="Q62">
        <f>MOD(Q59+Q60+INT((R59+R60+INT((S59+S60+INT((T59+T60+INT((V59+V60+INT((W59+W60+INT((X59+X60+INT((Y59+Y60)/2))/2))/2))/2))/2))/2))/2),2)</f>
        <v>1</v>
      </c>
      <c r="R62">
        <f>MOD(R59+R60+INT((S59+S60+INT((T59+T60+INT((V59+V60+INT((W59+W60+INT((X59+X60+INT((Y59+Y60)/2))/2))/2))/2))/2))/2),2)</f>
        <v>1</v>
      </c>
      <c r="S62">
        <f>MOD(S59+S60+INT((T59+T60+INT((V59+V60+INT((W59+W60+INT((X59+X60+INT((Y59+Y60)/2))/2))/2))/2))/2),2)</f>
        <v>1</v>
      </c>
      <c r="T62">
        <f>MOD(T59+T60+INT((V59+V60+INT((W59+W60+INT((X59+X60+INT((Y59+Y60)/2))/2))/2))/2),2)</f>
        <v>0</v>
      </c>
      <c r="U62" t="s">
        <v>42</v>
      </c>
      <c r="V62">
        <f>MOD(V59+V60+INT((W59+W60+INT((X59+X60+INT((Y59+Y60)/2))/2))/2),2)</f>
        <v>1</v>
      </c>
      <c r="W62">
        <f>MOD(W59+W60+INT((X59+X60+INT((Y59+Y60)/2))/2),2)</f>
        <v>1</v>
      </c>
      <c r="X62">
        <f>MOD(X59+X60+INT((Y59+Y60)/2),2)</f>
        <v>0</v>
      </c>
      <c r="Y62">
        <f>MOD(Y59+Y60,2)</f>
        <v>0</v>
      </c>
      <c r="Z62" s="6" t="s">
        <v>67</v>
      </c>
      <c r="AA62" s="5">
        <f>IF(G62=1,(G62*32768+H62*16384+I62*8192+J62*4096+L62*2048+M62*1024+N62*512+O62*256+Q62*128+R62*64+S62*32+T62*16+V62*8+W62*4+X62*2+Y62*1)-65536,G62*32768+H62*16384+I62*8192+J62*4096+L62*2048+M62*1024+N62*512+O62*256+Q62*128+R62*64+S62*32+T62*16+V62*8+W62*4+X62*2+Y62*1)</f>
        <v>13036</v>
      </c>
      <c r="AD62">
        <f>SUM(AD59:AD60)</f>
        <v>13036</v>
      </c>
      <c r="AF62" s="9"/>
    </row>
    <row r="64" spans="4:32">
      <c r="G64" s="7" t="s">
        <v>46</v>
      </c>
      <c r="H64" s="7"/>
      <c r="I64" s="7"/>
      <c r="J64">
        <f>IF(AND(G59=1,G60=1),1,IF(AND(G59=0,G60=0),0,IF(AND(OR(G59=1,G60=1),G62=0),1,0)))</f>
        <v>1</v>
      </c>
      <c r="L64" s="7" t="s">
        <v>47</v>
      </c>
      <c r="M64" s="7"/>
      <c r="N64" s="7"/>
      <c r="O64">
        <f>IF(MOD(SUM(Q62,R62,S62,T62,V62,W62,X62,Y62),2)=0,1,0)</f>
        <v>0</v>
      </c>
      <c r="Q64" s="7" t="s">
        <v>48</v>
      </c>
      <c r="R64" s="7"/>
      <c r="S64" s="7"/>
      <c r="T64">
        <f>MOD(0+0+INT((V59+V60+INT((W59+W60+INT((X59+X60+INT((Y59+Y60)/2))/2))/2))/2),2)</f>
        <v>1</v>
      </c>
      <c r="V64" s="7" t="s">
        <v>49</v>
      </c>
      <c r="W64" s="7"/>
      <c r="X64" s="7"/>
      <c r="Y64">
        <f>IF(SUM(G62,H62,I62,J62,L62,M62,N62,O62,Q62,R62,S62,T62,V62,W62,X62,Y62)=0,1,0)</f>
        <v>0</v>
      </c>
      <c r="Z64" s="4" t="s">
        <v>50</v>
      </c>
      <c r="AA64">
        <f>G62</f>
        <v>0</v>
      </c>
      <c r="AB64" t="s">
        <v>51</v>
      </c>
      <c r="AC64">
        <f>IF(AND(G59=G60,G59&lt;&gt;G62),1,0)</f>
        <v>0</v>
      </c>
    </row>
  </sheetData>
  <mergeCells count="35">
    <mergeCell ref="AF52:AF55"/>
    <mergeCell ref="AF59:AF62"/>
    <mergeCell ref="AF17:AF20"/>
    <mergeCell ref="AF24:AF27"/>
    <mergeCell ref="AF31:AF34"/>
    <mergeCell ref="AF38:AF41"/>
    <mergeCell ref="AF45:AF48"/>
    <mergeCell ref="G36:I36"/>
    <mergeCell ref="L36:N36"/>
    <mergeCell ref="Q36:S36"/>
    <mergeCell ref="V36:X36"/>
    <mergeCell ref="G22:I22"/>
    <mergeCell ref="L22:N22"/>
    <mergeCell ref="Q22:S22"/>
    <mergeCell ref="V22:X22"/>
    <mergeCell ref="G29:I29"/>
    <mergeCell ref="L29:N29"/>
    <mergeCell ref="Q29:S29"/>
    <mergeCell ref="V29:X29"/>
    <mergeCell ref="G43:I43"/>
    <mergeCell ref="L43:N43"/>
    <mergeCell ref="Q43:S43"/>
    <mergeCell ref="V43:X43"/>
    <mergeCell ref="G50:I50"/>
    <mergeCell ref="L50:N50"/>
    <mergeCell ref="Q50:S50"/>
    <mergeCell ref="V50:X50"/>
    <mergeCell ref="G57:I57"/>
    <mergeCell ref="L57:N57"/>
    <mergeCell ref="Q57:S57"/>
    <mergeCell ref="V57:X57"/>
    <mergeCell ref="G64:I64"/>
    <mergeCell ref="L64:N64"/>
    <mergeCell ref="Q64:S64"/>
    <mergeCell ref="V64:X64"/>
  </mergeCells>
  <pageMargins left="0.7" right="0.7" top="0.75" bottom="0.75" header="0.3" footer="0.3"/>
  <pageSetup orientation="landscape" horizontalDpi="300" verticalDpi="300" r:id="rId1"/>
  <headerFooter>
    <oddHeader>&amp;CЛишик Александра Юрьевна, вариант 2, lab5</oddHeader>
    <oddFooter>&amp;C&amp;D&amp;T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XFiles</dc:creator>
  <cp:lastModifiedBy>XFiles</cp:lastModifiedBy>
  <dcterms:created xsi:type="dcterms:W3CDTF">2025-11-13T22:39:01Z</dcterms:created>
  <dcterms:modified xsi:type="dcterms:W3CDTF">2025-11-22T05:58:22Z</dcterms:modified>
</cp:coreProperties>
</file>